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come" sheetId="2" state="visible" r:id="rId4"/>
    <sheet name="Expenses" sheetId="3" state="visible" r:id="rId5"/>
    <sheet name="Bills" sheetId="4" state="visible" r:id="rId6"/>
    <sheet name="Savings Goals" sheetId="5" state="visible" r:id="rId7"/>
    <sheet name="Net Worth" sheetId="6" state="visible" r:id="rId8"/>
    <sheet name="Budget Planner" sheetId="7" state="visible" r:id="rId9"/>
    <sheet name="Settings" sheetId="8" state="visible" r:id="rId10"/>
  </sheets>
  <definedNames>
    <definedName function="false" hidden="false" localSheetId="3" name="_xlnm.Print_Area" vbProcedure="false">Bills!$A$1:$D$36</definedName>
    <definedName function="false" hidden="false" localSheetId="6" name="_xlnm.Print_Area" vbProcedure="false">'Budget Planner'!$A$1:$E$15</definedName>
    <definedName function="false" hidden="false" localSheetId="0" name="_xlnm.Print_Area" vbProcedure="false">Dashboard!$A$1:$N$69</definedName>
    <definedName function="false" hidden="false" localSheetId="2" name="_xlnm.Print_Area" vbProcedure="false">Expenses!$A$1:$E$154</definedName>
    <definedName function="false" hidden="false" localSheetId="1" name="_xlnm.Print_Area" vbProcedure="false">Income!$A$1:$E$52</definedName>
    <definedName function="false" hidden="false" localSheetId="5" name="_xlnm.Print_Area" vbProcedure="false">'Net Worth'!$A$1:$G$21</definedName>
    <definedName function="false" hidden="false" localSheetId="4" name="_xlnm.Print_Area" vbProcedure="false">'Savings Goals'!$A$1:$E$13</definedName>
    <definedName function="false" hidden="false" localSheetId="7" name="_xlnm.Print_Area" vbProcedure="false">Settings!$A$1:$M$12</definedName>
    <definedName function="false" hidden="false" name="AssetTypes" vbProcedure="false">Settings!$L$2:$L$6</definedName>
    <definedName function="false" hidden="false" name="BillStatuses" vbProcedure="false">Settings!$K$2:$K$3</definedName>
    <definedName function="false" hidden="false" name="ExpenseCategories" vbProcedure="false">Settings!$H$2:$H$9</definedName>
    <definedName function="false" hidden="false" name="IncomeCategories" vbProcedure="false">Settings!$I$2:$I$7</definedName>
    <definedName function="false" hidden="false" name="LiabilityTypes" vbProcedure="false">Settings!$M$2:$M$5</definedName>
    <definedName function="false" hidden="false" name="PaymentMethods" vbProcedure="false">Settings!$J$2:$J$6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<sst xmlns="http://schemas.openxmlformats.org/spreadsheetml/2006/main" count="199" uniqueCount="134">
  <si>
    <t xml:space="preserve">ULTIMATE FINANCE OS</t>
  </si>
  <si>
    <t xml:space="preserve">Personal Finance Dashboard — Digital Product Studio</t>
  </si>
  <si>
    <t xml:space="preserve">Change the Report Month (H3) to view any period.</t>
  </si>
  <si>
    <t xml:space="preserve">Report Month:</t>
  </si>
  <si>
    <t xml:space="preserve">Chart Data (auto-calculated — do not edit)</t>
  </si>
  <si>
    <t xml:space="preserve">Month</t>
  </si>
  <si>
    <t xml:space="preserve">Income</t>
  </si>
  <si>
    <t xml:space="preserve">Expenses</t>
  </si>
  <si>
    <t xml:space="preserve">Savings</t>
  </si>
  <si>
    <t xml:space="preserve">MONTHLY INCOME</t>
  </si>
  <si>
    <t xml:space="preserve">MONTHLY EXPENSES</t>
  </si>
  <si>
    <t xml:space="preserve">NET SAVINGS</t>
  </si>
  <si>
    <t xml:space="preserve">SAVINGS RATE %</t>
  </si>
  <si>
    <t xml:space="preserve">BILLS DUE</t>
  </si>
  <si>
    <t xml:space="preserve">CURRENT NET WORTH</t>
  </si>
  <si>
    <t xml:space="preserve">AVG DAILY SPEND</t>
  </si>
  <si>
    <t xml:space="preserve">TOP EXPENSE CATEGORY</t>
  </si>
  <si>
    <t xml:space="preserve">CHARTS</t>
  </si>
  <si>
    <t xml:space="preserve">Category</t>
  </si>
  <si>
    <t xml:space="preserve">Amount</t>
  </si>
  <si>
    <t xml:space="preserve">Housing</t>
  </si>
  <si>
    <t xml:space="preserve">Food</t>
  </si>
  <si>
    <t xml:space="preserve">Transport</t>
  </si>
  <si>
    <t xml:space="preserve">Shopping</t>
  </si>
  <si>
    <t xml:space="preserve">Health</t>
  </si>
  <si>
    <t xml:space="preserve">Entertainment</t>
  </si>
  <si>
    <t xml:space="preserve">Utilities</t>
  </si>
  <si>
    <t xml:space="preserve">Other</t>
  </si>
  <si>
    <t xml:space="preserve">INCOME TRACKER</t>
  </si>
  <si>
    <t xml:space="preserve">Log every deposit — Dashboard updates automatically</t>
  </si>
  <si>
    <t xml:space="preserve">Date</t>
  </si>
  <si>
    <t xml:space="preserve">Source</t>
  </si>
  <si>
    <t xml:space="preserve">Notes</t>
  </si>
  <si>
    <t xml:space="preserve">Acme Corp</t>
  </si>
  <si>
    <t xml:space="preserve">Salary</t>
  </si>
  <si>
    <t xml:space="preserve">Bi-weekly paycheck</t>
  </si>
  <si>
    <t xml:space="preserve">Freelance Client - Logo</t>
  </si>
  <si>
    <t xml:space="preserve">Freelance</t>
  </si>
  <si>
    <t xml:space="preserve">Design project</t>
  </si>
  <si>
    <t xml:space="preserve">TOTAL</t>
  </si>
  <si>
    <t xml:space="preserve">EXPENSE TRACKER</t>
  </si>
  <si>
    <t xml:space="preserve">Log every purchase — Dashboard updates automatically</t>
  </si>
  <si>
    <t xml:space="preserve">Merchant</t>
  </si>
  <si>
    <t xml:space="preserve">Payment Method</t>
  </si>
  <si>
    <t xml:space="preserve">Landlord LLC</t>
  </si>
  <si>
    <t xml:space="preserve">Bank Transfer</t>
  </si>
  <si>
    <t xml:space="preserve">Whole Foods</t>
  </si>
  <si>
    <t xml:space="preserve">Credit Card</t>
  </si>
  <si>
    <t xml:space="preserve">Uber</t>
  </si>
  <si>
    <t xml:space="preserve">Amazon</t>
  </si>
  <si>
    <t xml:space="preserve">City Electric</t>
  </si>
  <si>
    <t xml:space="preserve">Netflix</t>
  </si>
  <si>
    <t xml:space="preserve">CVS Pharmacy</t>
  </si>
  <si>
    <t xml:space="preserve">Debit Card</t>
  </si>
  <si>
    <t xml:space="preserve">BILLS TRACKER</t>
  </si>
  <si>
    <t xml:space="preserve">Overdue bills auto-highlight in red</t>
  </si>
  <si>
    <t xml:space="preserve">Bill Name</t>
  </si>
  <si>
    <t xml:space="preserve">Due Date</t>
  </si>
  <si>
    <t xml:space="preserve">Status</t>
  </si>
  <si>
    <t xml:space="preserve">Rent</t>
  </si>
  <si>
    <t xml:space="preserve">Paid</t>
  </si>
  <si>
    <t xml:space="preserve">Electric Bill</t>
  </si>
  <si>
    <t xml:space="preserve">Pending</t>
  </si>
  <si>
    <t xml:space="preserve">Internet</t>
  </si>
  <si>
    <t xml:space="preserve">Car Loan</t>
  </si>
  <si>
    <t xml:space="preserve">Phone Plan</t>
  </si>
  <si>
    <t xml:space="preserve">Legend:</t>
  </si>
  <si>
    <t xml:space="preserve">  Red = Overdue &amp; unpaid</t>
  </si>
  <si>
    <t xml:space="preserve">  Green = Paid</t>
  </si>
  <si>
    <t xml:space="preserve">SAVINGS GOALS</t>
  </si>
  <si>
    <t xml:space="preserve">Track progress toward every target</t>
  </si>
  <si>
    <t xml:space="preserve">Goal</t>
  </si>
  <si>
    <t xml:space="preserve">Target Amount</t>
  </si>
  <si>
    <t xml:space="preserve">Saved</t>
  </si>
  <si>
    <t xml:space="preserve">Remaining</t>
  </si>
  <si>
    <t xml:space="preserve">Progress %</t>
  </si>
  <si>
    <t xml:space="preserve">Emergency Fund</t>
  </si>
  <si>
    <t xml:space="preserve">Vacation - Japan</t>
  </si>
  <si>
    <t xml:space="preserve">New Laptop</t>
  </si>
  <si>
    <t xml:space="preserve">NET WORTH</t>
  </si>
  <si>
    <t xml:space="preserve">Assets vs Liabilities — updates automatically</t>
  </si>
  <si>
    <t xml:space="preserve">As Of Date</t>
  </si>
  <si>
    <t xml:space="preserve">ASSETS</t>
  </si>
  <si>
    <t xml:space="preserve">LIABILITIES</t>
  </si>
  <si>
    <t xml:space="preserve">Type</t>
  </si>
  <si>
    <t xml:space="preserve">Description</t>
  </si>
  <si>
    <t xml:space="preserve">Value</t>
  </si>
  <si>
    <t xml:space="preserve">Cash &amp; Bank</t>
  </si>
  <si>
    <t xml:space="preserve">Checking + Savings</t>
  </si>
  <si>
    <t xml:space="preserve">Visa Balance</t>
  </si>
  <si>
    <t xml:space="preserve">Investments</t>
  </si>
  <si>
    <t xml:space="preserve">Brokerage / Retirement</t>
  </si>
  <si>
    <t xml:space="preserve">Loan</t>
  </si>
  <si>
    <t xml:space="preserve">Car Loan Balance</t>
  </si>
  <si>
    <t xml:space="preserve">Property</t>
  </si>
  <si>
    <t xml:space="preserve">Primary Residence</t>
  </si>
  <si>
    <t xml:space="preserve">Mortgage</t>
  </si>
  <si>
    <t xml:space="preserve">Home Loan Balance</t>
  </si>
  <si>
    <t xml:space="preserve">Vehicle</t>
  </si>
  <si>
    <t xml:space="preserve">Car (est. resale)</t>
  </si>
  <si>
    <t xml:space="preserve">TOTAL ASSETS</t>
  </si>
  <si>
    <t xml:space="preserve">TOTAL LIABILITIES</t>
  </si>
  <si>
    <t xml:space="preserve">BUDGET PLANNER</t>
  </si>
  <si>
    <t xml:space="preserve">Planned vs Actual spending by category (current report month)</t>
  </si>
  <si>
    <t xml:space="preserve">Report Month</t>
  </si>
  <si>
    <t xml:space="preserve">Planned</t>
  </si>
  <si>
    <t xml:space="preserve">Actual</t>
  </si>
  <si>
    <t xml:space="preserve">Variance</t>
  </si>
  <si>
    <t xml:space="preserve">Variance %</t>
  </si>
  <si>
    <t xml:space="preserve">SETTINGS</t>
  </si>
  <si>
    <t xml:space="preserve">Expense Categories</t>
  </si>
  <si>
    <t xml:space="preserve">Income Categories</t>
  </si>
  <si>
    <t xml:space="preserve">Payment Methods</t>
  </si>
  <si>
    <t xml:space="preserve">Bill Status</t>
  </si>
  <si>
    <t xml:space="preserve">Asset Types</t>
  </si>
  <si>
    <t xml:space="preserve">Liability Types</t>
  </si>
  <si>
    <t xml:space="preserve">Ultimate Finance OS — Configuration</t>
  </si>
  <si>
    <t xml:space="preserve">Cash</t>
  </si>
  <si>
    <t xml:space="preserve">GENERAL</t>
  </si>
  <si>
    <t xml:space="preserve">Business</t>
  </si>
  <si>
    <t xml:space="preserve">User Name</t>
  </si>
  <si>
    <t xml:space="preserve">Your Name</t>
  </si>
  <si>
    <t xml:space="preserve">Investment</t>
  </si>
  <si>
    <t xml:space="preserve">Currency</t>
  </si>
  <si>
    <t xml:space="preserve">USD</t>
  </si>
  <si>
    <t xml:space="preserve">Gift</t>
  </si>
  <si>
    <t xml:space="preserve">Start Month</t>
  </si>
  <si>
    <t xml:space="preserve">Theme</t>
  </si>
  <si>
    <t xml:space="preserve">Premium Dark</t>
  </si>
  <si>
    <t xml:space="preserve">Version</t>
  </si>
  <si>
    <t xml:space="preserve">1.0</t>
  </si>
  <si>
    <t xml:space="preserve">SKU</t>
  </si>
  <si>
    <t xml:space="preserve">DPS-XLS-001</t>
  </si>
  <si>
    <t xml:space="preserve">Blue text on light-yellow = editable input cell.  Update these values to personalize your workbook.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</si>
</sst>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m\ yyyy"/>
    <numFmt numFmtId="166" formatCode="mmm\-yy"/>
    <numFmt numFmtId="167" formatCode="\$#,##0"/>
    <numFmt numFmtId="168" formatCode="0.0%"/>
    <numFmt numFmtId="169" formatCode="0"/>
    <numFmt numFmtId="170" formatCode="\$#,##0.00"/>
    <numFmt numFmtId="171" formatCode="@"/>
    <numFmt numFmtId="172" formatCode="mm/dd/yyyy"/>
    <numFmt numFmtId="173" formatCode="\$#,##0.00;[RED]&quot;($&quot;#,##0.00\)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D4AF37"/>
      <name val="Arial"/>
      <family val="0"/>
      <charset val="1"/>
    </font>
    <font>
      <i val="true"/>
      <sz val="11"/>
      <color rgb="FFE2E8F0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0"/>
      <color rgb="FFE2E8F0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b val="true"/>
      <i val="true"/>
      <sz val="9"/>
      <color rgb="FF94A3B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94A3B8"/>
      <name val="Arial"/>
      <family val="0"/>
      <charset val="1"/>
    </font>
    <font>
      <sz val="9"/>
      <color rgb="FFE2E8F0"/>
      <name val="Arial"/>
      <family val="0"/>
      <charset val="1"/>
    </font>
    <font>
      <sz val="9"/>
      <color rgb="FFD4AF37"/>
      <name val="Arial"/>
      <family val="0"/>
      <charset val="1"/>
    </font>
    <font>
      <sz val="9"/>
      <color rgb="FFFCA5A5"/>
      <name val="Arial"/>
      <family val="0"/>
      <charset val="1"/>
    </font>
    <font>
      <sz val="9"/>
      <color rgb="FF14B8A6"/>
      <name val="Arial"/>
      <family val="0"/>
      <charset val="1"/>
    </font>
    <font>
      <b val="true"/>
      <sz val="22"/>
      <color rgb="FFD4AF37"/>
      <name val="Arial"/>
      <family val="0"/>
      <charset val="1"/>
    </font>
    <font>
      <b val="true"/>
      <sz val="22"/>
      <color rgb="FFFCA5A5"/>
      <name val="Arial"/>
      <family val="0"/>
      <charset val="1"/>
    </font>
    <font>
      <b val="true"/>
      <sz val="22"/>
      <color rgb="FF14B8A6"/>
      <name val="Arial"/>
      <family val="0"/>
      <charset val="1"/>
    </font>
    <font>
      <b val="true"/>
      <sz val="22"/>
      <color rgb="FFE8C766"/>
      <name val="Arial"/>
      <family val="0"/>
      <charset val="1"/>
    </font>
    <font>
      <b val="true"/>
      <sz val="16"/>
      <color rgb="FFE8C766"/>
      <name val="Arial"/>
      <family val="0"/>
      <charset val="1"/>
    </font>
    <font>
      <b val="true"/>
      <sz val="13"/>
      <color rgb="FFD4AF3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20"/>
      <color rgb="FFD4AF37"/>
      <name val="Arial"/>
      <family val="0"/>
      <charset val="1"/>
    </font>
    <font>
      <i val="true"/>
      <sz val="10"/>
      <color rgb="FFE2E8F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94A3B8"/>
      <name val="Arial"/>
      <family val="0"/>
      <charset val="1"/>
    </font>
    <font>
      <sz val="9"/>
      <color rgb="FFDC2626"/>
      <name val="Arial"/>
      <family val="0"/>
      <charset val="1"/>
    </font>
    <font>
      <sz val="9"/>
      <color rgb="FF16A34A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sz val="11"/>
      <color rgb="FF1D4ED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8"/>
      <color rgb="FFD4AF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172A"/>
        <bgColor rgb="FF111827"/>
      </patternFill>
    </fill>
    <fill>
      <patternFill patternType="solid">
        <fgColor rgb="FFFFFDE7"/>
        <bgColor rgb="FFFFFFFF"/>
      </patternFill>
    </fill>
    <fill>
      <patternFill patternType="solid">
        <fgColor rgb="FF111827"/>
        <bgColor rgb="FF0F172A"/>
      </patternFill>
    </fill>
    <fill>
      <patternFill patternType="solid">
        <fgColor rgb="FF1E293B"/>
        <bgColor rgb="FF111827"/>
      </patternFill>
    </fill>
    <fill>
      <patternFill patternType="solid">
        <fgColor rgb="FFF1F5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DC2626"/>
      </font>
      <fill>
        <patternFill>
          <bgColor rgb="FFFEE2E2"/>
        </patternFill>
      </fill>
    </dxf>
    <dxf>
      <fill>
        <patternFill>
          <bgColor rgb="FFDCFCE7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0B981"/>
      <rgbColor rgb="FFD9D9D9"/>
      <rgbColor rgb="FF878787"/>
      <rgbColor rgb="FFA855F7"/>
      <rgbColor rgb="FF993366"/>
      <rgbColor rgb="FFFFFDE7"/>
      <rgbColor rgb="FFDCFCE7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1F5F9"/>
      <rgbColor rgb="FFE2E8F0"/>
      <rgbColor rgb="FFFEE2E2"/>
      <rgbColor rgb="FF99CCFF"/>
      <rgbColor rgb="FFFCA5A5"/>
      <rgbColor rgb="FFCC99FF"/>
      <rgbColor rgb="FFE8C766"/>
      <rgbColor rgb="FF3B82F6"/>
      <rgbColor rgb="FF14B8A6"/>
      <rgbColor rgb="FF99CC00"/>
      <rgbColor rgb="FFD4AF37"/>
      <rgbColor rgb="FFF59E0B"/>
      <rgbColor rgb="FFEF4444"/>
      <rgbColor rgb="FF64748B"/>
      <rgbColor rgb="FF94A3B8"/>
      <rgbColor rgb="FF0F172A"/>
      <rgbColor rgb="FF16A34A"/>
      <rgbColor rgb="FF111827"/>
      <rgbColor rgb="FF3333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vs Expenses (12-Month Trend)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Dashboard!K4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d4af3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Dashboard!$J$5:$J$16</c:f>
              <c:strCache>
                <c:ptCount val="12"/>
                <c:pt idx="0">
                  <c:v>Sep-25</c:v>
                </c:pt>
                <c:pt idx="1">
                  <c:v>Oct-25</c:v>
                </c:pt>
                <c:pt idx="2">
                  <c:v>Nov-25</c:v>
                </c:pt>
                <c:pt idx="3">
                  <c:v>Dec-25</c:v>
                </c:pt>
                <c:pt idx="4">
                  <c:v>Jan-26</c:v>
                </c:pt>
                <c:pt idx="5">
                  <c:v>Feb-26</c:v>
                </c:pt>
                <c:pt idx="6">
                  <c:v>Mar-26</c:v>
                </c:pt>
                <c:pt idx="7">
                  <c:v>Apr-26</c:v>
                </c:pt>
                <c:pt idx="8">
                  <c:v>May-26</c:v>
                </c:pt>
                <c:pt idx="9">
                  <c:v>Jun-26</c:v>
                </c:pt>
                <c:pt idx="10">
                  <c:v>Jul-26</c:v>
                </c:pt>
                <c:pt idx="11">
                  <c:v>Aug-26</c:v>
                </c:pt>
              </c:strCache>
            </c:strRef>
          </c:cat>
          <c:val>
            <c:numRef>
              <c:f>Dashboard!$K$5:$K$16</c:f>
              <c:numCache>
                <c:formatCode>\$#,##0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10850</c:v>
                </c:pt>
              </c:numCache>
            </c:numRef>
          </c:val>
        </c:ser>
        <c:ser>
          <c:idx val="1"/>
          <c:order val="1"/>
          <c:tx>
            <c:strRef>
              <c:f>Dashboard!L4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ef44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Dashboard!$J$5:$J$16</c:f>
              <c:strCache>
                <c:ptCount val="12"/>
                <c:pt idx="0">
                  <c:v>Sep-25</c:v>
                </c:pt>
                <c:pt idx="1">
                  <c:v>Oct-25</c:v>
                </c:pt>
                <c:pt idx="2">
                  <c:v>Nov-25</c:v>
                </c:pt>
                <c:pt idx="3">
                  <c:v>Dec-25</c:v>
                </c:pt>
                <c:pt idx="4">
                  <c:v>Jan-26</c:v>
                </c:pt>
                <c:pt idx="5">
                  <c:v>Feb-26</c:v>
                </c:pt>
                <c:pt idx="6">
                  <c:v>Mar-26</c:v>
                </c:pt>
                <c:pt idx="7">
                  <c:v>Apr-26</c:v>
                </c:pt>
                <c:pt idx="8">
                  <c:v>May-26</c:v>
                </c:pt>
                <c:pt idx="9">
                  <c:v>Jun-26</c:v>
                </c:pt>
                <c:pt idx="10">
                  <c:v>Jul-26</c:v>
                </c:pt>
                <c:pt idx="11">
                  <c:v>Aug-26</c:v>
                </c:pt>
              </c:strCache>
            </c:strRef>
          </c:cat>
          <c:val>
            <c:numRef>
              <c:f>Dashboard!$L$5:$L$16</c:f>
              <c:numCache>
                <c:formatCode>\$#,##0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2227.9</c:v>
                </c:pt>
              </c:numCache>
            </c:numRef>
          </c:val>
        </c:ser>
        <c:gapWidth val="150"/>
        <c:overlap val="0"/>
        <c:axId val="14407481"/>
        <c:axId val="25599245"/>
      </c:barChart>
      <c:catAx>
        <c:axId val="144074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99245"/>
        <c:crosses val="autoZero"/>
        <c:auto val="1"/>
        <c:lblAlgn val="ctr"/>
        <c:lblOffset val="100"/>
        <c:noMultiLvlLbl val="0"/>
      </c:catAx>
      <c:valAx>
        <c:axId val="255992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074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 Category Breakdown (This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Dashboard!K19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d4af3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4b8a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ef4444"/>
              </a:solidFill>
              <a:ln w="0">
                <a:noFill/>
              </a:ln>
            </c:spPr>
          </c:dPt>
          <c:dPt>
            <c:idx val="3"/>
            <c:spPr>
              <a:solidFill>
                <a:srgbClr val="3b82f6"/>
              </a:solidFill>
              <a:ln w="0">
                <a:noFill/>
              </a:ln>
            </c:spPr>
          </c:dPt>
          <c:dPt>
            <c:idx val="4"/>
            <c:spPr>
              <a:solidFill>
                <a:srgbClr val="a855f7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59e0b"/>
              </a:solidFill>
              <a:ln w="0">
                <a:noFill/>
              </a:ln>
            </c:spPr>
          </c:dPt>
          <c:dPt>
            <c:idx val="6"/>
            <c:spPr>
              <a:solidFill>
                <a:srgbClr val="10b981"/>
              </a:solidFill>
              <a:ln w="0">
                <a:noFill/>
              </a:ln>
            </c:spPr>
          </c:dPt>
          <c:dPt>
            <c:idx val="7"/>
            <c:spPr>
              <a:solidFill>
                <a:srgbClr val="94a3b8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Dashboard!$J$20:$J$27</c:f>
              <c:strCache>
                <c:ptCount val="8"/>
                <c:pt idx="0">
                  <c:v>Housing</c:v>
                </c:pt>
                <c:pt idx="1">
                  <c:v>Food</c:v>
                </c:pt>
                <c:pt idx="2">
                  <c:v>Transport</c:v>
                </c:pt>
                <c:pt idx="3">
                  <c:v>Shopping</c:v>
                </c:pt>
                <c:pt idx="4">
                  <c:v>Health</c:v>
                </c:pt>
                <c:pt idx="5">
                  <c:v>Entertainment</c:v>
                </c:pt>
                <c:pt idx="6">
                  <c:v>Utilities</c:v>
                </c:pt>
                <c:pt idx="7">
                  <c:v>Other</c:v>
                </c:pt>
              </c:strCache>
            </c:strRef>
          </c:cat>
          <c:val>
            <c:numRef>
              <c:f>Dashboard!$K$20:$K$27</c:f>
              <c:numCache>
                <c:formatCode>\$#,##0</c:formatCode>
                <c:ptCount val="8"/>
                <c:pt idx="0">
                  <c:v>1800</c:v>
                </c:pt>
                <c:pt idx="1">
                  <c:v>145.32</c:v>
                </c:pt>
                <c:pt idx="2">
                  <c:v>24.5</c:v>
                </c:pt>
                <c:pt idx="3">
                  <c:v>89.99</c:v>
                </c:pt>
                <c:pt idx="4">
                  <c:v>42.1</c:v>
                </c:pt>
                <c:pt idx="5">
                  <c:v>15.99</c:v>
                </c:pt>
                <c:pt idx="6">
                  <c:v>110</c:v>
                </c:pt>
                <c:pt idx="7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Savings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Dashboard!M4</c:f>
              <c:strCache>
                <c:ptCount val="1"/>
                <c:pt idx="0">
                  <c:v>Savings</c:v>
                </c:pt>
              </c:strCache>
            </c:strRef>
          </c:tx>
          <c:spPr>
            <a:solidFill>
              <a:srgbClr val="14b8a6"/>
            </a:solidFill>
            <a:ln w="24840">
              <a:solidFill>
                <a:srgbClr val="14b8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Dashboard!$J$5:$J$16</c:f>
              <c:strCache>
                <c:ptCount val="12"/>
                <c:pt idx="0">
                  <c:v>Sep-25</c:v>
                </c:pt>
                <c:pt idx="1">
                  <c:v>Oct-25</c:v>
                </c:pt>
                <c:pt idx="2">
                  <c:v>Nov-25</c:v>
                </c:pt>
                <c:pt idx="3">
                  <c:v>Dec-25</c:v>
                </c:pt>
                <c:pt idx="4">
                  <c:v>Jan-26</c:v>
                </c:pt>
                <c:pt idx="5">
                  <c:v>Feb-26</c:v>
                </c:pt>
                <c:pt idx="6">
                  <c:v>Mar-26</c:v>
                </c:pt>
                <c:pt idx="7">
                  <c:v>Apr-26</c:v>
                </c:pt>
                <c:pt idx="8">
                  <c:v>May-26</c:v>
                </c:pt>
                <c:pt idx="9">
                  <c:v>Jun-26</c:v>
                </c:pt>
                <c:pt idx="10">
                  <c:v>Jul-26</c:v>
                </c:pt>
                <c:pt idx="11">
                  <c:v>Aug-26</c:v>
                </c:pt>
              </c:strCache>
            </c:strRef>
          </c:cat>
          <c:val>
            <c:numRef>
              <c:f>Dashboard!$M$5:$M$16</c:f>
              <c:numCache>
                <c:formatCode>\$#,##0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8622.1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835597"/>
        <c:axId val="34033030"/>
      </c:lineChart>
      <c:catAx>
        <c:axId val="298355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33030"/>
        <c:crosses val="autoZero"/>
        <c:auto val="1"/>
        <c:lblAlgn val="ctr"/>
        <c:lblOffset val="100"/>
        <c:noMultiLvlLbl val="0"/>
      </c:catAx>
      <c:valAx>
        <c:axId val="340330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355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6</xdr:col>
      <xdr:colOff>621720</xdr:colOff>
      <xdr:row>34</xdr:row>
      <xdr:rowOff>1080</xdr:rowOff>
    </xdr:to>
    <xdr:graphicFrame>
      <xdr:nvGraphicFramePr>
        <xdr:cNvPr id="0" name="Chart 1"/>
        <xdr:cNvGraphicFramePr/>
      </xdr:nvGraphicFramePr>
      <xdr:xfrm>
        <a:off x="0" y="39909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37</xdr:row>
      <xdr:rowOff>0</xdr:rowOff>
    </xdr:from>
    <xdr:to>
      <xdr:col>6</xdr:col>
      <xdr:colOff>621720</xdr:colOff>
      <xdr:row>54</xdr:row>
      <xdr:rowOff>1080</xdr:rowOff>
    </xdr:to>
    <xdr:graphicFrame>
      <xdr:nvGraphicFramePr>
        <xdr:cNvPr id="1" name="Chart 2"/>
        <xdr:cNvGraphicFramePr/>
      </xdr:nvGraphicFramePr>
      <xdr:xfrm>
        <a:off x="0" y="78008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57</xdr:row>
      <xdr:rowOff>0</xdr:rowOff>
    </xdr:from>
    <xdr:to>
      <xdr:col>6</xdr:col>
      <xdr:colOff>621720</xdr:colOff>
      <xdr:row>74</xdr:row>
      <xdr:rowOff>1080</xdr:rowOff>
    </xdr:to>
    <xdr:graphicFrame>
      <xdr:nvGraphicFramePr>
        <xdr:cNvPr id="2" name="Chart 3"/>
        <xdr:cNvGraphicFramePr/>
      </xdr:nvGraphicFramePr>
      <xdr:xfrm>
        <a:off x="0" y="116110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F37"/>
    <pageSetUpPr fitToPage="true"/>
  </sheetPr>
  <dimension ref="A1:N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3"/>
    <col collapsed="false" customWidth="true" hidden="false" outlineLevel="0" max="14" min="10" style="0" width="13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4" t="s">
        <v>3</v>
      </c>
      <c r="H3" s="5" t="n">
        <f aca="true">DATE(YEAR(TODAY()),MONTH(TODAY()),1)</f>
        <v>46235</v>
      </c>
      <c r="J3" s="6" t="s">
        <v>4</v>
      </c>
      <c r="K3" s="6"/>
      <c r="L3" s="6"/>
      <c r="M3" s="6"/>
      <c r="N3" s="6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J4" s="8" t="s">
        <v>5</v>
      </c>
      <c r="K4" s="8" t="s">
        <v>6</v>
      </c>
      <c r="L4" s="8" t="s">
        <v>7</v>
      </c>
      <c r="M4" s="8" t="s">
        <v>8</v>
      </c>
    </row>
    <row r="5" customFormat="false" ht="18" hidden="false" customHeight="true" outlineLevel="0" collapsed="false">
      <c r="A5" s="9" t="s">
        <v>9</v>
      </c>
      <c r="B5" s="9"/>
      <c r="C5" s="9" t="s">
        <v>10</v>
      </c>
      <c r="D5" s="9"/>
      <c r="E5" s="9" t="s">
        <v>11</v>
      </c>
      <c r="F5" s="9"/>
      <c r="G5" s="9" t="s">
        <v>12</v>
      </c>
      <c r="H5" s="9"/>
      <c r="J5" s="10" t="n">
        <f aca="false">EDATE(DATE(YEAR($H$3),MONTH($H$3),1),-11)</f>
        <v>45901</v>
      </c>
      <c r="K5" s="11" t="n">
        <f aca="false">SUMIFS(Income!$D$4:$D$51,Income!$A$4:$A$51,"&gt;="&amp;EDATE(DATE(YEAR($H$3),MONTH($H$3),1),-11),Income!$A$4:$A$51,"&lt;"&amp;EDATE(DATE(YEAR($H$3),MONTH($H$3),1),-10))</f>
        <v>0</v>
      </c>
      <c r="L5" s="12" t="n">
        <f aca="false">SUMIFS(Expenses!$E$4:$E$153,Expenses!$A$4:$A$153,"&gt;="&amp;EDATE(DATE(YEAR($H$3),MONTH($H$3),1),-11),Expenses!$A$4:$A$153,"&lt;"&amp;EDATE(DATE(YEAR($H$3),MONTH($H$3),1),-10))</f>
        <v>0</v>
      </c>
      <c r="M5" s="13" t="n">
        <f aca="false">K5-L5</f>
        <v>0</v>
      </c>
    </row>
    <row r="6" customFormat="false" ht="19.5" hidden="false" customHeight="true" outlineLevel="0" collapsed="false">
      <c r="A6" s="14" t="n">
        <f aca="false">SUMIFS(Income!$D$4:$D$51,Income!$A$4:$A$51,"&gt;="&amp;DATE(YEAR($H$3),MONTH($H$3),1),Income!$A$4:$A$51,"&lt;"&amp;EDATE(DATE(YEAR($H$3),MONTH($H$3),1),1))</f>
        <v>10850</v>
      </c>
      <c r="B6" s="14"/>
      <c r="C6" s="15" t="n">
        <f aca="false">SUMIFS(Expenses!$E$4:$E$153,Expenses!$A$4:$A$153,"&gt;="&amp;DATE(YEAR($H$3),MONTH($H$3),1),Expenses!$A$4:$A$153,"&lt;"&amp;EDATE(DATE(YEAR($H$3),MONTH($H$3),1),1))</f>
        <v>2227.9</v>
      </c>
      <c r="D6" s="15"/>
      <c r="E6" s="16" t="n">
        <f aca="false">A6-C6</f>
        <v>8622.1</v>
      </c>
      <c r="F6" s="16"/>
      <c r="G6" s="17" t="n">
        <f aca="false">IFERROR(E6/A6,0)</f>
        <v>0.794663594470046</v>
      </c>
      <c r="H6" s="17"/>
      <c r="J6" s="10" t="n">
        <f aca="false">EDATE(DATE(YEAR($H$3),MONTH($H$3),1),-10)</f>
        <v>45931</v>
      </c>
      <c r="K6" s="11" t="n">
        <f aca="false">SUMIFS(Income!$D$4:$D$51,Income!$A$4:$A$51,"&gt;="&amp;EDATE(DATE(YEAR($H$3),MONTH($H$3),1),-10),Income!$A$4:$A$51,"&lt;"&amp;EDATE(DATE(YEAR($H$3),MONTH($H$3),1),-9))</f>
        <v>0</v>
      </c>
      <c r="L6" s="12" t="n">
        <f aca="false">SUMIFS(Expenses!$E$4:$E$153,Expenses!$A$4:$A$153,"&gt;="&amp;EDATE(DATE(YEAR($H$3),MONTH($H$3),1),-10),Expenses!$A$4:$A$153,"&lt;"&amp;EDATE(DATE(YEAR($H$3),MONTH($H$3),1),-9))</f>
        <v>0</v>
      </c>
      <c r="M6" s="13" t="n">
        <f aca="false">K6-L6</f>
        <v>0</v>
      </c>
    </row>
    <row r="7" customFormat="false" ht="19.5" hidden="false" customHeight="true" outlineLevel="0" collapsed="false">
      <c r="A7" s="14"/>
      <c r="B7" s="14"/>
      <c r="C7" s="15"/>
      <c r="D7" s="15"/>
      <c r="E7" s="16"/>
      <c r="F7" s="16"/>
      <c r="G7" s="17"/>
      <c r="H7" s="17"/>
      <c r="J7" s="10" t="n">
        <f aca="false">EDATE(DATE(YEAR($H$3),MONTH($H$3),1),-9)</f>
        <v>45962</v>
      </c>
      <c r="K7" s="11" t="n">
        <f aca="false">SUMIFS(Income!$D$4:$D$51,Income!$A$4:$A$51,"&gt;="&amp;EDATE(DATE(YEAR($H$3),MONTH($H$3),1),-9),Income!$A$4:$A$51,"&lt;"&amp;EDATE(DATE(YEAR($H$3),MONTH($H$3),1),-8))</f>
        <v>0</v>
      </c>
      <c r="L7" s="12" t="n">
        <f aca="false">SUMIFS(Expenses!$E$4:$E$153,Expenses!$A$4:$A$153,"&gt;="&amp;EDATE(DATE(YEAR($H$3),MONTH($H$3),1),-9),Expenses!$A$4:$A$153,"&lt;"&amp;EDATE(DATE(YEAR($H$3),MONTH($H$3),1),-8))</f>
        <v>0</v>
      </c>
      <c r="M7" s="13" t="n">
        <f aca="false">K7-L7</f>
        <v>0</v>
      </c>
    </row>
    <row r="8" customFormat="false" ht="15.75" hidden="false" customHeight="true" outlineLevel="0" collapsed="false">
      <c r="A8" s="18"/>
      <c r="B8" s="18"/>
      <c r="C8" s="18"/>
      <c r="D8" s="18"/>
      <c r="E8" s="18"/>
      <c r="F8" s="18"/>
      <c r="G8" s="18"/>
      <c r="H8" s="18"/>
      <c r="J8" s="10" t="n">
        <f aca="false">EDATE(DATE(YEAR($H$3),MONTH($H$3),1),-8)</f>
        <v>45992</v>
      </c>
      <c r="K8" s="11" t="n">
        <f aca="false">SUMIFS(Income!$D$4:$D$51,Income!$A$4:$A$51,"&gt;="&amp;EDATE(DATE(YEAR($H$3),MONTH($H$3),1),-8),Income!$A$4:$A$51,"&lt;"&amp;EDATE(DATE(YEAR($H$3),MONTH($H$3),1),-7))</f>
        <v>0</v>
      </c>
      <c r="L8" s="12" t="n">
        <f aca="false">SUMIFS(Expenses!$E$4:$E$153,Expenses!$A$4:$A$153,"&gt;="&amp;EDATE(DATE(YEAR($H$3),MONTH($H$3),1),-8),Expenses!$A$4:$A$153,"&lt;"&amp;EDATE(DATE(YEAR($H$3),MONTH($H$3),1),-7))</f>
        <v>0</v>
      </c>
      <c r="M8" s="13" t="n">
        <f aca="false">K8-L8</f>
        <v>0</v>
      </c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J9" s="10" t="n">
        <f aca="false">EDATE(DATE(YEAR($H$3),MONTH($H$3),1),-7)</f>
        <v>46023</v>
      </c>
      <c r="K9" s="11" t="n">
        <f aca="false">SUMIFS(Income!$D$4:$D$51,Income!$A$4:$A$51,"&gt;="&amp;EDATE(DATE(YEAR($H$3),MONTH($H$3),1),-7),Income!$A$4:$A$51,"&lt;"&amp;EDATE(DATE(YEAR($H$3),MONTH($H$3),1),-6))</f>
        <v>0</v>
      </c>
      <c r="L9" s="12" t="n">
        <f aca="false">SUMIFS(Expenses!$E$4:$E$153,Expenses!$A$4:$A$153,"&gt;="&amp;EDATE(DATE(YEAR($H$3),MONTH($H$3),1),-7),Expenses!$A$4:$A$153,"&lt;"&amp;EDATE(DATE(YEAR($H$3),MONTH($H$3),1),-6))</f>
        <v>0</v>
      </c>
      <c r="M9" s="13" t="n">
        <f aca="false">K9-L9</f>
        <v>0</v>
      </c>
    </row>
    <row r="10" customFormat="false" ht="18" hidden="false" customHeight="true" outlineLevel="0" collapsed="false">
      <c r="A10" s="9" t="s">
        <v>13</v>
      </c>
      <c r="B10" s="9"/>
      <c r="C10" s="9" t="s">
        <v>14</v>
      </c>
      <c r="D10" s="9"/>
      <c r="E10" s="9" t="s">
        <v>15</v>
      </c>
      <c r="F10" s="9"/>
      <c r="G10" s="9" t="s">
        <v>16</v>
      </c>
      <c r="H10" s="9"/>
      <c r="J10" s="10" t="n">
        <f aca="false">EDATE(DATE(YEAR($H$3),MONTH($H$3),1),-6)</f>
        <v>46054</v>
      </c>
      <c r="K10" s="11" t="n">
        <f aca="false">SUMIFS(Income!$D$4:$D$51,Income!$A$4:$A$51,"&gt;="&amp;EDATE(DATE(YEAR($H$3),MONTH($H$3),1),-6),Income!$A$4:$A$51,"&lt;"&amp;EDATE(DATE(YEAR($H$3),MONTH($H$3),1),-5))</f>
        <v>0</v>
      </c>
      <c r="L10" s="12" t="n">
        <f aca="false">SUMIFS(Expenses!$E$4:$E$153,Expenses!$A$4:$A$153,"&gt;="&amp;EDATE(DATE(YEAR($H$3),MONTH($H$3),1),-6),Expenses!$A$4:$A$153,"&lt;"&amp;EDATE(DATE(YEAR($H$3),MONTH($H$3),1),-5))</f>
        <v>0</v>
      </c>
      <c r="M10" s="13" t="n">
        <f aca="false">K10-L10</f>
        <v>0</v>
      </c>
    </row>
    <row r="11" customFormat="false" ht="19.5" hidden="false" customHeight="true" outlineLevel="0" collapsed="false">
      <c r="A11" s="19" t="n">
        <f aca="false">COUNTIFS(Bills!$D$4:$D$33,"Pending",Bills!$B$4:$B$33,"&lt;="&amp;EDATE(DATE(YEAR($H$3),MONTH($H$3),1),1))</f>
        <v>3</v>
      </c>
      <c r="B11" s="19"/>
      <c r="C11" s="14" t="n">
        <f aca="false">'Net Worth'!E21</f>
        <v>45700</v>
      </c>
      <c r="D11" s="14"/>
      <c r="E11" s="20" t="n">
        <f aca="false">IFERROR(C6/DAY((EDATE(DATE(YEAR($H$3),MONTH($H$3),1),1))-1),0)</f>
        <v>71.8677419354839</v>
      </c>
      <c r="F11" s="20"/>
      <c r="G11" s="21" t="str">
        <f aca="false">INDEX(J20:J27,MATCH(MAX(K20:K27),K20:K27,0))</f>
        <v>Housing</v>
      </c>
      <c r="H11" s="21"/>
      <c r="J11" s="10" t="n">
        <f aca="false">EDATE(DATE(YEAR($H$3),MONTH($H$3),1),-5)</f>
        <v>46082</v>
      </c>
      <c r="K11" s="11" t="n">
        <f aca="false">SUMIFS(Income!$D$4:$D$51,Income!$A$4:$A$51,"&gt;="&amp;EDATE(DATE(YEAR($H$3),MONTH($H$3),1),-5),Income!$A$4:$A$51,"&lt;"&amp;EDATE(DATE(YEAR($H$3),MONTH($H$3),1),-4))</f>
        <v>0</v>
      </c>
      <c r="L11" s="12" t="n">
        <f aca="false">SUMIFS(Expenses!$E$4:$E$153,Expenses!$A$4:$A$153,"&gt;="&amp;EDATE(DATE(YEAR($H$3),MONTH($H$3),1),-5),Expenses!$A$4:$A$153,"&lt;"&amp;EDATE(DATE(YEAR($H$3),MONTH($H$3),1),-4))</f>
        <v>0</v>
      </c>
      <c r="M11" s="13" t="n">
        <f aca="false">K11-L11</f>
        <v>0</v>
      </c>
    </row>
    <row r="12" customFormat="false" ht="19.5" hidden="false" customHeight="true" outlineLevel="0" collapsed="false">
      <c r="A12" s="19"/>
      <c r="B12" s="19"/>
      <c r="C12" s="14"/>
      <c r="D12" s="14"/>
      <c r="E12" s="20"/>
      <c r="F12" s="20"/>
      <c r="G12" s="21"/>
      <c r="H12" s="21"/>
      <c r="J12" s="10" t="n">
        <f aca="false">EDATE(DATE(YEAR($H$3),MONTH($H$3),1),-4)</f>
        <v>46113</v>
      </c>
      <c r="K12" s="11" t="n">
        <f aca="false">SUMIFS(Income!$D$4:$D$51,Income!$A$4:$A$51,"&gt;="&amp;EDATE(DATE(YEAR($H$3),MONTH($H$3),1),-4),Income!$A$4:$A$51,"&lt;"&amp;EDATE(DATE(YEAR($H$3),MONTH($H$3),1),-3))</f>
        <v>0</v>
      </c>
      <c r="L12" s="12" t="n">
        <f aca="false">SUMIFS(Expenses!$E$4:$E$153,Expenses!$A$4:$A$153,"&gt;="&amp;EDATE(DATE(YEAR($H$3),MONTH($H$3),1),-4),Expenses!$A$4:$A$153,"&lt;"&amp;EDATE(DATE(YEAR($H$3),MONTH($H$3),1),-3))</f>
        <v>0</v>
      </c>
      <c r="M12" s="13" t="n">
        <f aca="false">K12-L12</f>
        <v>0</v>
      </c>
    </row>
    <row r="13" customFormat="false" ht="15.75" hidden="false" customHeight="true" outlineLevel="0" collapsed="false">
      <c r="A13" s="18" t="str">
        <f aca="false">"$"&amp;TEXT(SUMIFS(Bills!$C$4:$C$33,Bills!$D$4:$D$33,"Pending",Bills!$B$4:$B$33,"&lt;="&amp;EDATE(DATE(YEAR($H$3),MONTH($H$3),1),1)),"#,##0.00")&amp;" pending"</f>
        <v>$485.00 pending</v>
      </c>
      <c r="B13" s="18"/>
      <c r="C13" s="18"/>
      <c r="D13" s="18"/>
      <c r="E13" s="18"/>
      <c r="F13" s="18"/>
      <c r="G13" s="18"/>
      <c r="H13" s="18"/>
      <c r="J13" s="10" t="n">
        <f aca="false">EDATE(DATE(YEAR($H$3),MONTH($H$3),1),-3)</f>
        <v>46143</v>
      </c>
      <c r="K13" s="11" t="n">
        <f aca="false">SUMIFS(Income!$D$4:$D$51,Income!$A$4:$A$51,"&gt;="&amp;EDATE(DATE(YEAR($H$3),MONTH($H$3),1),-3),Income!$A$4:$A$51,"&lt;"&amp;EDATE(DATE(YEAR($H$3),MONTH($H$3),1),-2))</f>
        <v>0</v>
      </c>
      <c r="L13" s="12" t="n">
        <f aca="false">SUMIFS(Expenses!$E$4:$E$153,Expenses!$A$4:$A$153,"&gt;="&amp;EDATE(DATE(YEAR($H$3),MONTH($H$3),1),-3),Expenses!$A$4:$A$153,"&lt;"&amp;EDATE(DATE(YEAR($H$3),MONTH($H$3),1),-2))</f>
        <v>0</v>
      </c>
      <c r="M13" s="13" t="n">
        <f aca="false">K13-L13</f>
        <v>0</v>
      </c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J14" s="10" t="n">
        <f aca="false">EDATE(DATE(YEAR($H$3),MONTH($H$3),1),-2)</f>
        <v>46174</v>
      </c>
      <c r="K14" s="11" t="n">
        <f aca="false">SUMIFS(Income!$D$4:$D$51,Income!$A$4:$A$51,"&gt;="&amp;EDATE(DATE(YEAR($H$3),MONTH($H$3),1),-2),Income!$A$4:$A$51,"&lt;"&amp;EDATE(DATE(YEAR($H$3),MONTH($H$3),1),-1))</f>
        <v>0</v>
      </c>
      <c r="L14" s="12" t="n">
        <f aca="false">SUMIFS(Expenses!$E$4:$E$153,Expenses!$A$4:$A$153,"&gt;="&amp;EDATE(DATE(YEAR($H$3),MONTH($H$3),1),-2),Expenses!$A$4:$A$153,"&lt;"&amp;EDATE(DATE(YEAR($H$3),MONTH($H$3),1),-1))</f>
        <v>0</v>
      </c>
      <c r="M14" s="13" t="n">
        <f aca="false">K14-L14</f>
        <v>0</v>
      </c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J15" s="10" t="n">
        <f aca="false">EDATE(DATE(YEAR($H$3),MONTH($H$3),1),-1)</f>
        <v>46204</v>
      </c>
      <c r="K15" s="11" t="n">
        <f aca="false">SUMIFS(Income!$D$4:$D$51,Income!$A$4:$A$51,"&gt;="&amp;EDATE(DATE(YEAR($H$3),MONTH($H$3),1),-1),Income!$A$4:$A$51,"&lt;"&amp;EDATE(DATE(YEAR($H$3),MONTH($H$3),1),0))</f>
        <v>0</v>
      </c>
      <c r="L15" s="12" t="n">
        <f aca="false">SUMIFS(Expenses!$E$4:$E$153,Expenses!$A$4:$A$153,"&gt;="&amp;EDATE(DATE(YEAR($H$3),MONTH($H$3),1),-1),Expenses!$A$4:$A$153,"&lt;"&amp;EDATE(DATE(YEAR($H$3),MONTH($H$3),1),0))</f>
        <v>0</v>
      </c>
      <c r="M15" s="13" t="n">
        <f aca="false">K15-L15</f>
        <v>0</v>
      </c>
    </row>
    <row r="16" customFormat="false" ht="21.75" hidden="false" customHeight="true" outlineLevel="0" collapsed="false">
      <c r="A16" s="22" t="s">
        <v>17</v>
      </c>
      <c r="B16" s="22"/>
      <c r="C16" s="22"/>
      <c r="D16" s="22"/>
      <c r="E16" s="22"/>
      <c r="F16" s="22"/>
      <c r="G16" s="22"/>
      <c r="H16" s="22"/>
      <c r="J16" s="10" t="n">
        <f aca="false">EDATE(DATE(YEAR($H$3),MONTH($H$3),1),0)</f>
        <v>46235</v>
      </c>
      <c r="K16" s="11" t="n">
        <f aca="false">SUMIFS(Income!$D$4:$D$51,Income!$A$4:$A$51,"&gt;="&amp;EDATE(DATE(YEAR($H$3),MONTH($H$3),1),0),Income!$A$4:$A$51,"&lt;"&amp;EDATE(DATE(YEAR($H$3),MONTH($H$3),1),1))</f>
        <v>10850</v>
      </c>
      <c r="L16" s="12" t="n">
        <f aca="false">SUMIFS(Expenses!$E$4:$E$153,Expenses!$A$4:$A$153,"&gt;="&amp;EDATE(DATE(YEAR($H$3),MONTH($H$3),1),0),Expenses!$A$4:$A$153,"&lt;"&amp;EDATE(DATE(YEAR($H$3),MONTH($H$3),1),1))</f>
        <v>2227.9</v>
      </c>
      <c r="M16" s="13" t="n">
        <f aca="false">K16-L16</f>
        <v>8622.1</v>
      </c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J19" s="8" t="s">
        <v>18</v>
      </c>
      <c r="K19" s="8" t="s">
        <v>19</v>
      </c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J20" s="23" t="s">
        <v>20</v>
      </c>
      <c r="K20" s="11" t="n">
        <f aca="false">SUMIFS(Expenses!$E$4:$E$153,Expenses!$C$4:$C$153,$J20,Expenses!$A$4:$A$153,"&gt;="&amp;DATE(YEAR($H$3),MONTH($H$3),1),Expenses!$A$4:$A$153,"&lt;"&amp;EDATE(DATE(YEAR($H$3),MONTH($H$3),1),1))</f>
        <v>1800</v>
      </c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J21" s="23" t="s">
        <v>21</v>
      </c>
      <c r="K21" s="11" t="n">
        <f aca="false">SUMIFS(Expenses!$E$4:$E$153,Expenses!$C$4:$C$153,$J21,Expenses!$A$4:$A$153,"&gt;="&amp;DATE(YEAR($H$3),MONTH($H$3),1),Expenses!$A$4:$A$153,"&lt;"&amp;EDATE(DATE(YEAR($H$3),MONTH($H$3),1),1))</f>
        <v>145.32</v>
      </c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J22" s="23" t="s">
        <v>22</v>
      </c>
      <c r="K22" s="11" t="n">
        <f aca="false">SUMIFS(Expenses!$E$4:$E$153,Expenses!$C$4:$C$153,$J22,Expenses!$A$4:$A$153,"&gt;="&amp;DATE(YEAR($H$3),MONTH($H$3),1),Expenses!$A$4:$A$153,"&lt;"&amp;EDATE(DATE(YEAR($H$3),MONTH($H$3),1),1))</f>
        <v>24.5</v>
      </c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J23" s="23" t="s">
        <v>23</v>
      </c>
      <c r="K23" s="11" t="n">
        <f aca="false">SUMIFS(Expenses!$E$4:$E$153,Expenses!$C$4:$C$153,$J23,Expenses!$A$4:$A$153,"&gt;="&amp;DATE(YEAR($H$3),MONTH($H$3),1),Expenses!$A$4:$A$153,"&lt;"&amp;EDATE(DATE(YEAR($H$3),MONTH($H$3),1),1))</f>
        <v>89.99</v>
      </c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J24" s="23" t="s">
        <v>24</v>
      </c>
      <c r="K24" s="11" t="n">
        <f aca="false">SUMIFS(Expenses!$E$4:$E$153,Expenses!$C$4:$C$153,$J24,Expenses!$A$4:$A$153,"&gt;="&amp;DATE(YEAR($H$3),MONTH($H$3),1),Expenses!$A$4:$A$153,"&lt;"&amp;EDATE(DATE(YEAR($H$3),MONTH($H$3),1),1))</f>
        <v>42.1</v>
      </c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J25" s="23" t="s">
        <v>25</v>
      </c>
      <c r="K25" s="11" t="n">
        <f aca="false">SUMIFS(Expenses!$E$4:$E$153,Expenses!$C$4:$C$153,$J25,Expenses!$A$4:$A$153,"&gt;="&amp;DATE(YEAR($H$3),MONTH($H$3),1),Expenses!$A$4:$A$153,"&lt;"&amp;EDATE(DATE(YEAR($H$3),MONTH($H$3),1),1))</f>
        <v>15.99</v>
      </c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J26" s="23" t="s">
        <v>26</v>
      </c>
      <c r="K26" s="11" t="n">
        <f aca="false">SUMIFS(Expenses!$E$4:$E$153,Expenses!$C$4:$C$153,$J26,Expenses!$A$4:$A$153,"&gt;="&amp;DATE(YEAR($H$3),MONTH($H$3),1),Expenses!$A$4:$A$153,"&lt;"&amp;EDATE(DATE(YEAR($H$3),MONTH($H$3),1),1))</f>
        <v>110</v>
      </c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J27" s="23" t="s">
        <v>27</v>
      </c>
      <c r="K27" s="11" t="n">
        <f aca="false">SUMIFS(Expenses!$E$4:$E$153,Expenses!$C$4:$C$153,$J27,Expenses!$A$4:$A$153,"&gt;="&amp;DATE(YEAR($H$3),MONTH($H$3),1),Expenses!$A$4:$A$153,"&lt;"&amp;EDATE(DATE(YEAR($H$3),MONTH($H$3),1),1))</f>
        <v>0</v>
      </c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7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7"/>
    </row>
  </sheetData>
  <mergeCells count="29">
    <mergeCell ref="A1:H1"/>
    <mergeCell ref="A2:H2"/>
    <mergeCell ref="A3:F3"/>
    <mergeCell ref="J3:N3"/>
    <mergeCell ref="A5:B5"/>
    <mergeCell ref="C5:D5"/>
    <mergeCell ref="E5:F5"/>
    <mergeCell ref="G5:H5"/>
    <mergeCell ref="A6:B7"/>
    <mergeCell ref="C6:D7"/>
    <mergeCell ref="E6:F7"/>
    <mergeCell ref="G6:H7"/>
    <mergeCell ref="A8:B8"/>
    <mergeCell ref="C8:D8"/>
    <mergeCell ref="E8:F8"/>
    <mergeCell ref="G8:H8"/>
    <mergeCell ref="A10:B10"/>
    <mergeCell ref="C10:D10"/>
    <mergeCell ref="E10:F10"/>
    <mergeCell ref="G10:H10"/>
    <mergeCell ref="A11:B12"/>
    <mergeCell ref="C11:D12"/>
    <mergeCell ref="E11:F12"/>
    <mergeCell ref="G11:H12"/>
    <mergeCell ref="A13:B13"/>
    <mergeCell ref="C13:D13"/>
    <mergeCell ref="E13:F13"/>
    <mergeCell ref="G13:H13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2"/>
  </cols>
  <sheetData>
    <row r="1" customFormat="false" ht="33.75" hidden="false" customHeight="true" outlineLevel="0" collapsed="false">
      <c r="A1" s="24" t="s">
        <v>28</v>
      </c>
      <c r="B1" s="24"/>
      <c r="C1" s="24"/>
      <c r="D1" s="24"/>
      <c r="E1" s="24"/>
    </row>
    <row r="2" customFormat="false" ht="18" hidden="false" customHeight="true" outlineLevel="0" collapsed="false">
      <c r="A2" s="25" t="s">
        <v>29</v>
      </c>
      <c r="B2" s="25"/>
      <c r="C2" s="25"/>
      <c r="D2" s="25"/>
      <c r="E2" s="25"/>
    </row>
    <row r="3" customFormat="false" ht="24" hidden="false" customHeight="true" outlineLevel="0" collapsed="false">
      <c r="A3" s="26" t="s">
        <v>30</v>
      </c>
      <c r="B3" s="26" t="s">
        <v>31</v>
      </c>
      <c r="C3" s="26" t="s">
        <v>18</v>
      </c>
      <c r="D3" s="26" t="s">
        <v>19</v>
      </c>
      <c r="E3" s="26" t="s">
        <v>32</v>
      </c>
    </row>
    <row r="4" customFormat="false" ht="15" hidden="false" customHeight="false" outlineLevel="0" collapsed="false">
      <c r="A4" s="27" t="n">
        <v>46235</v>
      </c>
      <c r="B4" s="28" t="s">
        <v>33</v>
      </c>
      <c r="C4" s="28" t="s">
        <v>34</v>
      </c>
      <c r="D4" s="29" t="n">
        <v>5200</v>
      </c>
      <c r="E4" s="28" t="s">
        <v>35</v>
      </c>
    </row>
    <row r="5" customFormat="false" ht="15" hidden="false" customHeight="false" outlineLevel="0" collapsed="false">
      <c r="A5" s="30" t="n">
        <v>46239</v>
      </c>
      <c r="B5" s="31" t="s">
        <v>36</v>
      </c>
      <c r="C5" s="31" t="s">
        <v>37</v>
      </c>
      <c r="D5" s="32" t="n">
        <v>450</v>
      </c>
      <c r="E5" s="31" t="s">
        <v>38</v>
      </c>
    </row>
    <row r="6" customFormat="false" ht="15" hidden="false" customHeight="false" outlineLevel="0" collapsed="false">
      <c r="A6" s="27" t="n">
        <v>46249</v>
      </c>
      <c r="B6" s="28" t="s">
        <v>33</v>
      </c>
      <c r="C6" s="28" t="s">
        <v>34</v>
      </c>
      <c r="D6" s="29" t="n">
        <v>5200</v>
      </c>
      <c r="E6" s="28" t="s">
        <v>35</v>
      </c>
    </row>
    <row r="7" customFormat="false" ht="15" hidden="false" customHeight="false" outlineLevel="0" collapsed="false">
      <c r="A7" s="30"/>
      <c r="B7" s="31"/>
      <c r="C7" s="31"/>
      <c r="D7" s="32"/>
      <c r="E7" s="31"/>
    </row>
    <row r="8" customFormat="false" ht="15" hidden="false" customHeight="false" outlineLevel="0" collapsed="false">
      <c r="A8" s="27"/>
      <c r="B8" s="28"/>
      <c r="C8" s="28"/>
      <c r="D8" s="29"/>
      <c r="E8" s="28"/>
    </row>
    <row r="9" customFormat="false" ht="15" hidden="false" customHeight="false" outlineLevel="0" collapsed="false">
      <c r="A9" s="30"/>
      <c r="B9" s="31"/>
      <c r="C9" s="31"/>
      <c r="D9" s="32"/>
      <c r="E9" s="31"/>
    </row>
    <row r="10" customFormat="false" ht="15" hidden="false" customHeight="false" outlineLevel="0" collapsed="false">
      <c r="A10" s="27"/>
      <c r="B10" s="28"/>
      <c r="C10" s="28"/>
      <c r="D10" s="29"/>
      <c r="E10" s="28"/>
    </row>
    <row r="11" customFormat="false" ht="15" hidden="false" customHeight="false" outlineLevel="0" collapsed="false">
      <c r="A11" s="30"/>
      <c r="B11" s="31"/>
      <c r="C11" s="31"/>
      <c r="D11" s="32"/>
      <c r="E11" s="31"/>
    </row>
    <row r="12" customFormat="false" ht="15" hidden="false" customHeight="false" outlineLevel="0" collapsed="false">
      <c r="A12" s="27"/>
      <c r="B12" s="28"/>
      <c r="C12" s="28"/>
      <c r="D12" s="29"/>
      <c r="E12" s="28"/>
    </row>
    <row r="13" customFormat="false" ht="15" hidden="false" customHeight="false" outlineLevel="0" collapsed="false">
      <c r="A13" s="30"/>
      <c r="B13" s="31"/>
      <c r="C13" s="31"/>
      <c r="D13" s="32"/>
      <c r="E13" s="31"/>
    </row>
    <row r="14" customFormat="false" ht="15" hidden="false" customHeight="false" outlineLevel="0" collapsed="false">
      <c r="A14" s="27"/>
      <c r="B14" s="28"/>
      <c r="C14" s="28"/>
      <c r="D14" s="29"/>
      <c r="E14" s="28"/>
    </row>
    <row r="15" customFormat="false" ht="15" hidden="false" customHeight="false" outlineLevel="0" collapsed="false">
      <c r="A15" s="30"/>
      <c r="B15" s="31"/>
      <c r="C15" s="31"/>
      <c r="D15" s="32"/>
      <c r="E15" s="31"/>
    </row>
    <row r="16" customFormat="false" ht="15" hidden="false" customHeight="false" outlineLevel="0" collapsed="false">
      <c r="A16" s="27"/>
      <c r="B16" s="28"/>
      <c r="C16" s="28"/>
      <c r="D16" s="29"/>
      <c r="E16" s="28"/>
    </row>
    <row r="17" customFormat="false" ht="15" hidden="false" customHeight="false" outlineLevel="0" collapsed="false">
      <c r="A17" s="30"/>
      <c r="B17" s="31"/>
      <c r="C17" s="31"/>
      <c r="D17" s="32"/>
      <c r="E17" s="31"/>
    </row>
    <row r="18" customFormat="false" ht="15" hidden="false" customHeight="false" outlineLevel="0" collapsed="false">
      <c r="A18" s="27"/>
      <c r="B18" s="28"/>
      <c r="C18" s="28"/>
      <c r="D18" s="29"/>
      <c r="E18" s="28"/>
    </row>
    <row r="19" customFormat="false" ht="15" hidden="false" customHeight="false" outlineLevel="0" collapsed="false">
      <c r="A19" s="30"/>
      <c r="B19" s="31"/>
      <c r="C19" s="31"/>
      <c r="D19" s="32"/>
      <c r="E19" s="31"/>
    </row>
    <row r="20" customFormat="false" ht="15" hidden="false" customHeight="false" outlineLevel="0" collapsed="false">
      <c r="A20" s="27"/>
      <c r="B20" s="28"/>
      <c r="C20" s="28"/>
      <c r="D20" s="29"/>
      <c r="E20" s="28"/>
    </row>
    <row r="21" customFormat="false" ht="15" hidden="false" customHeight="false" outlineLevel="0" collapsed="false">
      <c r="A21" s="30"/>
      <c r="B21" s="31"/>
      <c r="C21" s="31"/>
      <c r="D21" s="32"/>
      <c r="E21" s="31"/>
    </row>
    <row r="22" customFormat="false" ht="15" hidden="false" customHeight="false" outlineLevel="0" collapsed="false">
      <c r="A22" s="27"/>
      <c r="B22" s="28"/>
      <c r="C22" s="28"/>
      <c r="D22" s="29"/>
      <c r="E22" s="28"/>
    </row>
    <row r="23" customFormat="false" ht="15" hidden="false" customHeight="false" outlineLevel="0" collapsed="false">
      <c r="A23" s="30"/>
      <c r="B23" s="31"/>
      <c r="C23" s="31"/>
      <c r="D23" s="32"/>
      <c r="E23" s="31"/>
    </row>
    <row r="24" customFormat="false" ht="15" hidden="false" customHeight="false" outlineLevel="0" collapsed="false">
      <c r="A24" s="27"/>
      <c r="B24" s="28"/>
      <c r="C24" s="28"/>
      <c r="D24" s="29"/>
      <c r="E24" s="28"/>
    </row>
    <row r="25" customFormat="false" ht="15" hidden="false" customHeight="false" outlineLevel="0" collapsed="false">
      <c r="A25" s="30"/>
      <c r="B25" s="31"/>
      <c r="C25" s="31"/>
      <c r="D25" s="32"/>
      <c r="E25" s="31"/>
    </row>
    <row r="26" customFormat="false" ht="15" hidden="false" customHeight="false" outlineLevel="0" collapsed="false">
      <c r="A26" s="27"/>
      <c r="B26" s="28"/>
      <c r="C26" s="28"/>
      <c r="D26" s="29"/>
      <c r="E26" s="28"/>
    </row>
    <row r="27" customFormat="false" ht="15" hidden="false" customHeight="false" outlineLevel="0" collapsed="false">
      <c r="A27" s="30"/>
      <c r="B27" s="31"/>
      <c r="C27" s="31"/>
      <c r="D27" s="32"/>
      <c r="E27" s="31"/>
    </row>
    <row r="28" customFormat="false" ht="15" hidden="false" customHeight="false" outlineLevel="0" collapsed="false">
      <c r="A28" s="27"/>
      <c r="B28" s="28"/>
      <c r="C28" s="28"/>
      <c r="D28" s="29"/>
      <c r="E28" s="28"/>
    </row>
    <row r="29" customFormat="false" ht="15" hidden="false" customHeight="false" outlineLevel="0" collapsed="false">
      <c r="A29" s="30"/>
      <c r="B29" s="31"/>
      <c r="C29" s="31"/>
      <c r="D29" s="32"/>
      <c r="E29" s="31"/>
    </row>
    <row r="30" customFormat="false" ht="15" hidden="false" customHeight="false" outlineLevel="0" collapsed="false">
      <c r="A30" s="27"/>
      <c r="B30" s="28"/>
      <c r="C30" s="28"/>
      <c r="D30" s="29"/>
      <c r="E30" s="28"/>
    </row>
    <row r="31" customFormat="false" ht="15" hidden="false" customHeight="false" outlineLevel="0" collapsed="false">
      <c r="A31" s="30"/>
      <c r="B31" s="31"/>
      <c r="C31" s="31"/>
      <c r="D31" s="32"/>
      <c r="E31" s="31"/>
    </row>
    <row r="32" customFormat="false" ht="15" hidden="false" customHeight="false" outlineLevel="0" collapsed="false">
      <c r="A32" s="27"/>
      <c r="B32" s="28"/>
      <c r="C32" s="28"/>
      <c r="D32" s="29"/>
      <c r="E32" s="28"/>
    </row>
    <row r="33" customFormat="false" ht="15" hidden="false" customHeight="false" outlineLevel="0" collapsed="false">
      <c r="A33" s="30"/>
      <c r="B33" s="31"/>
      <c r="C33" s="31"/>
      <c r="D33" s="32"/>
      <c r="E33" s="31"/>
    </row>
    <row r="34" customFormat="false" ht="15" hidden="false" customHeight="false" outlineLevel="0" collapsed="false">
      <c r="A34" s="27"/>
      <c r="B34" s="28"/>
      <c r="C34" s="28"/>
      <c r="D34" s="29"/>
      <c r="E34" s="28"/>
    </row>
    <row r="35" customFormat="false" ht="15" hidden="false" customHeight="false" outlineLevel="0" collapsed="false">
      <c r="A35" s="30"/>
      <c r="B35" s="31"/>
      <c r="C35" s="31"/>
      <c r="D35" s="32"/>
      <c r="E35" s="31"/>
    </row>
    <row r="36" customFormat="false" ht="15" hidden="false" customHeight="false" outlineLevel="0" collapsed="false">
      <c r="A36" s="27"/>
      <c r="B36" s="28"/>
      <c r="C36" s="28"/>
      <c r="D36" s="29"/>
      <c r="E36" s="28"/>
    </row>
    <row r="37" customFormat="false" ht="15" hidden="false" customHeight="false" outlineLevel="0" collapsed="false">
      <c r="A37" s="30"/>
      <c r="B37" s="31"/>
      <c r="C37" s="31"/>
      <c r="D37" s="32"/>
      <c r="E37" s="31"/>
    </row>
    <row r="38" customFormat="false" ht="15" hidden="false" customHeight="false" outlineLevel="0" collapsed="false">
      <c r="A38" s="27"/>
      <c r="B38" s="28"/>
      <c r="C38" s="28"/>
      <c r="D38" s="29"/>
      <c r="E38" s="28"/>
    </row>
    <row r="39" customFormat="false" ht="15" hidden="false" customHeight="false" outlineLevel="0" collapsed="false">
      <c r="A39" s="30"/>
      <c r="B39" s="31"/>
      <c r="C39" s="31"/>
      <c r="D39" s="32"/>
      <c r="E39" s="31"/>
    </row>
    <row r="40" customFormat="false" ht="15" hidden="false" customHeight="false" outlineLevel="0" collapsed="false">
      <c r="A40" s="27"/>
      <c r="B40" s="28"/>
      <c r="C40" s="28"/>
      <c r="D40" s="29"/>
      <c r="E40" s="28"/>
    </row>
    <row r="41" customFormat="false" ht="15" hidden="false" customHeight="false" outlineLevel="0" collapsed="false">
      <c r="A41" s="30"/>
      <c r="B41" s="31"/>
      <c r="C41" s="31"/>
      <c r="D41" s="32"/>
      <c r="E41" s="31"/>
    </row>
    <row r="42" customFormat="false" ht="15" hidden="false" customHeight="false" outlineLevel="0" collapsed="false">
      <c r="A42" s="27"/>
      <c r="B42" s="28"/>
      <c r="C42" s="28"/>
      <c r="D42" s="29"/>
      <c r="E42" s="28"/>
    </row>
    <row r="43" customFormat="false" ht="15" hidden="false" customHeight="false" outlineLevel="0" collapsed="false">
      <c r="A43" s="30"/>
      <c r="B43" s="31"/>
      <c r="C43" s="31"/>
      <c r="D43" s="32"/>
      <c r="E43" s="31"/>
    </row>
    <row r="44" customFormat="false" ht="15" hidden="false" customHeight="false" outlineLevel="0" collapsed="false">
      <c r="A44" s="27"/>
      <c r="B44" s="28"/>
      <c r="C44" s="28"/>
      <c r="D44" s="29"/>
      <c r="E44" s="28"/>
    </row>
    <row r="45" customFormat="false" ht="15" hidden="false" customHeight="false" outlineLevel="0" collapsed="false">
      <c r="A45" s="30"/>
      <c r="B45" s="31"/>
      <c r="C45" s="31"/>
      <c r="D45" s="32"/>
      <c r="E45" s="31"/>
    </row>
    <row r="46" customFormat="false" ht="15" hidden="false" customHeight="false" outlineLevel="0" collapsed="false">
      <c r="A46" s="27"/>
      <c r="B46" s="28"/>
      <c r="C46" s="28"/>
      <c r="D46" s="29"/>
      <c r="E46" s="28"/>
    </row>
    <row r="47" customFormat="false" ht="15" hidden="false" customHeight="false" outlineLevel="0" collapsed="false">
      <c r="A47" s="30"/>
      <c r="B47" s="31"/>
      <c r="C47" s="31"/>
      <c r="D47" s="32"/>
      <c r="E47" s="31"/>
    </row>
    <row r="48" customFormat="false" ht="15" hidden="false" customHeight="false" outlineLevel="0" collapsed="false">
      <c r="A48" s="27"/>
      <c r="B48" s="28"/>
      <c r="C48" s="28"/>
      <c r="D48" s="29"/>
      <c r="E48" s="28"/>
    </row>
    <row r="49" customFormat="false" ht="15" hidden="false" customHeight="false" outlineLevel="0" collapsed="false">
      <c r="A49" s="30"/>
      <c r="B49" s="31"/>
      <c r="C49" s="31"/>
      <c r="D49" s="32"/>
      <c r="E49" s="31"/>
    </row>
    <row r="50" customFormat="false" ht="15" hidden="false" customHeight="false" outlineLevel="0" collapsed="false">
      <c r="A50" s="27"/>
      <c r="B50" s="28"/>
      <c r="C50" s="28"/>
      <c r="D50" s="29"/>
      <c r="E50" s="28"/>
    </row>
    <row r="51" customFormat="false" ht="15" hidden="false" customHeight="false" outlineLevel="0" collapsed="false">
      <c r="A51" s="30"/>
      <c r="B51" s="31"/>
      <c r="C51" s="31"/>
      <c r="D51" s="32"/>
      <c r="E51" s="31"/>
    </row>
    <row r="52" customFormat="false" ht="15" hidden="false" customHeight="false" outlineLevel="0" collapsed="false">
      <c r="A52" s="33"/>
      <c r="B52" s="33"/>
      <c r="C52" s="34" t="s">
        <v>39</v>
      </c>
      <c r="D52" s="35" t="n">
        <f aca="false">SUM(D4:D51)</f>
        <v>10850</v>
      </c>
      <c r="E52" s="33"/>
    </row>
  </sheetData>
  <mergeCells count="2">
    <mergeCell ref="A1:E1"/>
    <mergeCell ref="A2:E2"/>
  </mergeCells>
  <dataValidations count="2">
    <dataValidation allowBlank="true" errorStyle="stop" operator="between" showDropDown="false" showErrorMessage="false" showInputMessage="false" sqref="C4:C51" type="list">
      <formula1>IncomeCategories</formula1>
      <formula2>0</formula2>
    </dataValidation>
    <dataValidation allowBlank="true" errorStyle="stop" operator="greaterThan" showDropDown="false" showErrorMessage="false" showInputMessage="false" sqref="A4:A51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true"/>
  </sheetPr>
  <dimension ref="A1:E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33.75" hidden="false" customHeight="true" outlineLevel="0" collapsed="false">
      <c r="A1" s="24" t="s">
        <v>40</v>
      </c>
      <c r="B1" s="24"/>
      <c r="C1" s="24"/>
      <c r="D1" s="24"/>
      <c r="E1" s="24"/>
    </row>
    <row r="2" customFormat="false" ht="18" hidden="false" customHeight="true" outlineLevel="0" collapsed="false">
      <c r="A2" s="25" t="s">
        <v>41</v>
      </c>
      <c r="B2" s="25"/>
      <c r="C2" s="25"/>
      <c r="D2" s="25"/>
      <c r="E2" s="25"/>
    </row>
    <row r="3" customFormat="false" ht="24" hidden="false" customHeight="true" outlineLevel="0" collapsed="false">
      <c r="A3" s="26" t="s">
        <v>30</v>
      </c>
      <c r="B3" s="26" t="s">
        <v>42</v>
      </c>
      <c r="C3" s="26" t="s">
        <v>18</v>
      </c>
      <c r="D3" s="26" t="s">
        <v>43</v>
      </c>
      <c r="E3" s="26" t="s">
        <v>19</v>
      </c>
    </row>
    <row r="4" customFormat="false" ht="15" hidden="false" customHeight="false" outlineLevel="0" collapsed="false">
      <c r="A4" s="27" t="n">
        <v>46235</v>
      </c>
      <c r="B4" s="28" t="s">
        <v>44</v>
      </c>
      <c r="C4" s="28" t="s">
        <v>20</v>
      </c>
      <c r="D4" s="28" t="s">
        <v>45</v>
      </c>
      <c r="E4" s="29" t="n">
        <v>1800</v>
      </c>
    </row>
    <row r="5" customFormat="false" ht="15" hidden="false" customHeight="false" outlineLevel="0" collapsed="false">
      <c r="A5" s="30" t="n">
        <v>46236</v>
      </c>
      <c r="B5" s="31" t="s">
        <v>46</v>
      </c>
      <c r="C5" s="31" t="s">
        <v>21</v>
      </c>
      <c r="D5" s="31" t="s">
        <v>47</v>
      </c>
      <c r="E5" s="32" t="n">
        <v>145.32</v>
      </c>
    </row>
    <row r="6" customFormat="false" ht="15" hidden="false" customHeight="false" outlineLevel="0" collapsed="false">
      <c r="A6" s="27" t="n">
        <v>46237</v>
      </c>
      <c r="B6" s="28" t="s">
        <v>48</v>
      </c>
      <c r="C6" s="28" t="s">
        <v>22</v>
      </c>
      <c r="D6" s="28" t="s">
        <v>47</v>
      </c>
      <c r="E6" s="29" t="n">
        <v>24.5</v>
      </c>
    </row>
    <row r="7" customFormat="false" ht="15" hidden="false" customHeight="false" outlineLevel="0" collapsed="false">
      <c r="A7" s="30" t="n">
        <v>46238</v>
      </c>
      <c r="B7" s="31" t="s">
        <v>49</v>
      </c>
      <c r="C7" s="31" t="s">
        <v>23</v>
      </c>
      <c r="D7" s="31" t="s">
        <v>47</v>
      </c>
      <c r="E7" s="32" t="n">
        <v>89.99</v>
      </c>
    </row>
    <row r="8" customFormat="false" ht="15" hidden="false" customHeight="false" outlineLevel="0" collapsed="false">
      <c r="A8" s="27" t="n">
        <v>46240</v>
      </c>
      <c r="B8" s="28" t="s">
        <v>50</v>
      </c>
      <c r="C8" s="28" t="s">
        <v>26</v>
      </c>
      <c r="D8" s="28" t="s">
        <v>45</v>
      </c>
      <c r="E8" s="29" t="n">
        <v>110</v>
      </c>
    </row>
    <row r="9" customFormat="false" ht="15" hidden="false" customHeight="false" outlineLevel="0" collapsed="false">
      <c r="A9" s="30" t="n">
        <v>46242</v>
      </c>
      <c r="B9" s="31" t="s">
        <v>51</v>
      </c>
      <c r="C9" s="31" t="s">
        <v>25</v>
      </c>
      <c r="D9" s="31" t="s">
        <v>47</v>
      </c>
      <c r="E9" s="32" t="n">
        <v>15.99</v>
      </c>
    </row>
    <row r="10" customFormat="false" ht="15" hidden="false" customHeight="false" outlineLevel="0" collapsed="false">
      <c r="A10" s="27" t="n">
        <v>46244</v>
      </c>
      <c r="B10" s="28" t="s">
        <v>52</v>
      </c>
      <c r="C10" s="28" t="s">
        <v>24</v>
      </c>
      <c r="D10" s="28" t="s">
        <v>53</v>
      </c>
      <c r="E10" s="29" t="n">
        <v>42.1</v>
      </c>
    </row>
    <row r="11" customFormat="false" ht="15" hidden="false" customHeight="false" outlineLevel="0" collapsed="false">
      <c r="A11" s="30"/>
      <c r="B11" s="31"/>
      <c r="C11" s="31"/>
      <c r="D11" s="31"/>
      <c r="E11" s="32"/>
    </row>
    <row r="12" customFormat="false" ht="15" hidden="false" customHeight="false" outlineLevel="0" collapsed="false">
      <c r="A12" s="27"/>
      <c r="B12" s="28"/>
      <c r="C12" s="28"/>
      <c r="D12" s="28"/>
      <c r="E12" s="29"/>
    </row>
    <row r="13" customFormat="false" ht="15" hidden="false" customHeight="false" outlineLevel="0" collapsed="false">
      <c r="A13" s="30"/>
      <c r="B13" s="31"/>
      <c r="C13" s="31"/>
      <c r="D13" s="31"/>
      <c r="E13" s="32"/>
    </row>
    <row r="14" customFormat="false" ht="15" hidden="false" customHeight="false" outlineLevel="0" collapsed="false">
      <c r="A14" s="27"/>
      <c r="B14" s="28"/>
      <c r="C14" s="28"/>
      <c r="D14" s="28"/>
      <c r="E14" s="29"/>
    </row>
    <row r="15" customFormat="false" ht="15" hidden="false" customHeight="false" outlineLevel="0" collapsed="false">
      <c r="A15" s="30"/>
      <c r="B15" s="31"/>
      <c r="C15" s="31"/>
      <c r="D15" s="31"/>
      <c r="E15" s="32"/>
    </row>
    <row r="16" customFormat="false" ht="15" hidden="false" customHeight="false" outlineLevel="0" collapsed="false">
      <c r="A16" s="27"/>
      <c r="B16" s="28"/>
      <c r="C16" s="28"/>
      <c r="D16" s="28"/>
      <c r="E16" s="29"/>
    </row>
    <row r="17" customFormat="false" ht="15" hidden="false" customHeight="false" outlineLevel="0" collapsed="false">
      <c r="A17" s="30"/>
      <c r="B17" s="31"/>
      <c r="C17" s="31"/>
      <c r="D17" s="31"/>
      <c r="E17" s="32"/>
    </row>
    <row r="18" customFormat="false" ht="15" hidden="false" customHeight="false" outlineLevel="0" collapsed="false">
      <c r="A18" s="27"/>
      <c r="B18" s="28"/>
      <c r="C18" s="28"/>
      <c r="D18" s="28"/>
      <c r="E18" s="29"/>
    </row>
    <row r="19" customFormat="false" ht="15" hidden="false" customHeight="false" outlineLevel="0" collapsed="false">
      <c r="A19" s="30"/>
      <c r="B19" s="31"/>
      <c r="C19" s="31"/>
      <c r="D19" s="31"/>
      <c r="E19" s="32"/>
    </row>
    <row r="20" customFormat="false" ht="15" hidden="false" customHeight="false" outlineLevel="0" collapsed="false">
      <c r="A20" s="27"/>
      <c r="B20" s="28"/>
      <c r="C20" s="28"/>
      <c r="D20" s="28"/>
      <c r="E20" s="29"/>
    </row>
    <row r="21" customFormat="false" ht="15" hidden="false" customHeight="false" outlineLevel="0" collapsed="false">
      <c r="A21" s="30"/>
      <c r="B21" s="31"/>
      <c r="C21" s="31"/>
      <c r="D21" s="31"/>
      <c r="E21" s="32"/>
    </row>
    <row r="22" customFormat="false" ht="15" hidden="false" customHeight="false" outlineLevel="0" collapsed="false">
      <c r="A22" s="27"/>
      <c r="B22" s="28"/>
      <c r="C22" s="28"/>
      <c r="D22" s="28"/>
      <c r="E22" s="29"/>
    </row>
    <row r="23" customFormat="false" ht="15" hidden="false" customHeight="false" outlineLevel="0" collapsed="false">
      <c r="A23" s="30"/>
      <c r="B23" s="31"/>
      <c r="C23" s="31"/>
      <c r="D23" s="31"/>
      <c r="E23" s="32"/>
    </row>
    <row r="24" customFormat="false" ht="15" hidden="false" customHeight="false" outlineLevel="0" collapsed="false">
      <c r="A24" s="27"/>
      <c r="B24" s="28"/>
      <c r="C24" s="28"/>
      <c r="D24" s="28"/>
      <c r="E24" s="29"/>
    </row>
    <row r="25" customFormat="false" ht="15" hidden="false" customHeight="false" outlineLevel="0" collapsed="false">
      <c r="A25" s="30"/>
      <c r="B25" s="31"/>
      <c r="C25" s="31"/>
      <c r="D25" s="31"/>
      <c r="E25" s="32"/>
    </row>
    <row r="26" customFormat="false" ht="15" hidden="false" customHeight="false" outlineLevel="0" collapsed="false">
      <c r="A26" s="27"/>
      <c r="B26" s="28"/>
      <c r="C26" s="28"/>
      <c r="D26" s="28"/>
      <c r="E26" s="29"/>
    </row>
    <row r="27" customFormat="false" ht="15" hidden="false" customHeight="false" outlineLevel="0" collapsed="false">
      <c r="A27" s="30"/>
      <c r="B27" s="31"/>
      <c r="C27" s="31"/>
      <c r="D27" s="31"/>
      <c r="E27" s="32"/>
    </row>
    <row r="28" customFormat="false" ht="15" hidden="false" customHeight="false" outlineLevel="0" collapsed="false">
      <c r="A28" s="27"/>
      <c r="B28" s="28"/>
      <c r="C28" s="28"/>
      <c r="D28" s="28"/>
      <c r="E28" s="29"/>
    </row>
    <row r="29" customFormat="false" ht="15" hidden="false" customHeight="false" outlineLevel="0" collapsed="false">
      <c r="A29" s="30"/>
      <c r="B29" s="31"/>
      <c r="C29" s="31"/>
      <c r="D29" s="31"/>
      <c r="E29" s="32"/>
    </row>
    <row r="30" customFormat="false" ht="15" hidden="false" customHeight="false" outlineLevel="0" collapsed="false">
      <c r="A30" s="27"/>
      <c r="B30" s="28"/>
      <c r="C30" s="28"/>
      <c r="D30" s="28"/>
      <c r="E30" s="29"/>
    </row>
    <row r="31" customFormat="false" ht="15" hidden="false" customHeight="false" outlineLevel="0" collapsed="false">
      <c r="A31" s="30"/>
      <c r="B31" s="31"/>
      <c r="C31" s="31"/>
      <c r="D31" s="31"/>
      <c r="E31" s="32"/>
    </row>
    <row r="32" customFormat="false" ht="15" hidden="false" customHeight="false" outlineLevel="0" collapsed="false">
      <c r="A32" s="27"/>
      <c r="B32" s="28"/>
      <c r="C32" s="28"/>
      <c r="D32" s="28"/>
      <c r="E32" s="29"/>
    </row>
    <row r="33" customFormat="false" ht="15" hidden="false" customHeight="false" outlineLevel="0" collapsed="false">
      <c r="A33" s="30"/>
      <c r="B33" s="31"/>
      <c r="C33" s="31"/>
      <c r="D33" s="31"/>
      <c r="E33" s="32"/>
    </row>
    <row r="34" customFormat="false" ht="15" hidden="false" customHeight="false" outlineLevel="0" collapsed="false">
      <c r="A34" s="27"/>
      <c r="B34" s="28"/>
      <c r="C34" s="28"/>
      <c r="D34" s="28"/>
      <c r="E34" s="29"/>
    </row>
    <row r="35" customFormat="false" ht="15" hidden="false" customHeight="false" outlineLevel="0" collapsed="false">
      <c r="A35" s="30"/>
      <c r="B35" s="31"/>
      <c r="C35" s="31"/>
      <c r="D35" s="31"/>
      <c r="E35" s="32"/>
    </row>
    <row r="36" customFormat="false" ht="15" hidden="false" customHeight="false" outlineLevel="0" collapsed="false">
      <c r="A36" s="27"/>
      <c r="B36" s="28"/>
      <c r="C36" s="28"/>
      <c r="D36" s="28"/>
      <c r="E36" s="29"/>
    </row>
    <row r="37" customFormat="false" ht="15" hidden="false" customHeight="false" outlineLevel="0" collapsed="false">
      <c r="A37" s="30"/>
      <c r="B37" s="31"/>
      <c r="C37" s="31"/>
      <c r="D37" s="31"/>
      <c r="E37" s="32"/>
    </row>
    <row r="38" customFormat="false" ht="15" hidden="false" customHeight="false" outlineLevel="0" collapsed="false">
      <c r="A38" s="27"/>
      <c r="B38" s="28"/>
      <c r="C38" s="28"/>
      <c r="D38" s="28"/>
      <c r="E38" s="29"/>
    </row>
    <row r="39" customFormat="false" ht="15" hidden="false" customHeight="false" outlineLevel="0" collapsed="false">
      <c r="A39" s="30"/>
      <c r="B39" s="31"/>
      <c r="C39" s="31"/>
      <c r="D39" s="31"/>
      <c r="E39" s="32"/>
    </row>
    <row r="40" customFormat="false" ht="15" hidden="false" customHeight="false" outlineLevel="0" collapsed="false">
      <c r="A40" s="27"/>
      <c r="B40" s="28"/>
      <c r="C40" s="28"/>
      <c r="D40" s="28"/>
      <c r="E40" s="29"/>
    </row>
    <row r="41" customFormat="false" ht="15" hidden="false" customHeight="false" outlineLevel="0" collapsed="false">
      <c r="A41" s="30"/>
      <c r="B41" s="31"/>
      <c r="C41" s="31"/>
      <c r="D41" s="31"/>
      <c r="E41" s="32"/>
    </row>
    <row r="42" customFormat="false" ht="15" hidden="false" customHeight="false" outlineLevel="0" collapsed="false">
      <c r="A42" s="27"/>
      <c r="B42" s="28"/>
      <c r="C42" s="28"/>
      <c r="D42" s="28"/>
      <c r="E42" s="29"/>
    </row>
    <row r="43" customFormat="false" ht="15" hidden="false" customHeight="false" outlineLevel="0" collapsed="false">
      <c r="A43" s="30"/>
      <c r="B43" s="31"/>
      <c r="C43" s="31"/>
      <c r="D43" s="31"/>
      <c r="E43" s="32"/>
    </row>
    <row r="44" customFormat="false" ht="15" hidden="false" customHeight="false" outlineLevel="0" collapsed="false">
      <c r="A44" s="27"/>
      <c r="B44" s="28"/>
      <c r="C44" s="28"/>
      <c r="D44" s="28"/>
      <c r="E44" s="29"/>
    </row>
    <row r="45" customFormat="false" ht="15" hidden="false" customHeight="false" outlineLevel="0" collapsed="false">
      <c r="A45" s="30"/>
      <c r="B45" s="31"/>
      <c r="C45" s="31"/>
      <c r="D45" s="31"/>
      <c r="E45" s="32"/>
    </row>
    <row r="46" customFormat="false" ht="15" hidden="false" customHeight="false" outlineLevel="0" collapsed="false">
      <c r="A46" s="27"/>
      <c r="B46" s="28"/>
      <c r="C46" s="28"/>
      <c r="D46" s="28"/>
      <c r="E46" s="29"/>
    </row>
    <row r="47" customFormat="false" ht="15" hidden="false" customHeight="false" outlineLevel="0" collapsed="false">
      <c r="A47" s="30"/>
      <c r="B47" s="31"/>
      <c r="C47" s="31"/>
      <c r="D47" s="31"/>
      <c r="E47" s="32"/>
    </row>
    <row r="48" customFormat="false" ht="15" hidden="false" customHeight="false" outlineLevel="0" collapsed="false">
      <c r="A48" s="27"/>
      <c r="B48" s="28"/>
      <c r="C48" s="28"/>
      <c r="D48" s="28"/>
      <c r="E48" s="29"/>
    </row>
    <row r="49" customFormat="false" ht="15" hidden="false" customHeight="false" outlineLevel="0" collapsed="false">
      <c r="A49" s="30"/>
      <c r="B49" s="31"/>
      <c r="C49" s="31"/>
      <c r="D49" s="31"/>
      <c r="E49" s="32"/>
    </row>
    <row r="50" customFormat="false" ht="15" hidden="false" customHeight="false" outlineLevel="0" collapsed="false">
      <c r="A50" s="27"/>
      <c r="B50" s="28"/>
      <c r="C50" s="28"/>
      <c r="D50" s="28"/>
      <c r="E50" s="29"/>
    </row>
    <row r="51" customFormat="false" ht="15" hidden="false" customHeight="false" outlineLevel="0" collapsed="false">
      <c r="A51" s="30"/>
      <c r="B51" s="31"/>
      <c r="C51" s="31"/>
      <c r="D51" s="31"/>
      <c r="E51" s="32"/>
    </row>
    <row r="52" customFormat="false" ht="15" hidden="false" customHeight="false" outlineLevel="0" collapsed="false">
      <c r="A52" s="27"/>
      <c r="B52" s="28"/>
      <c r="C52" s="28"/>
      <c r="D52" s="28"/>
      <c r="E52" s="29"/>
    </row>
    <row r="53" customFormat="false" ht="15" hidden="false" customHeight="false" outlineLevel="0" collapsed="false">
      <c r="A53" s="30"/>
      <c r="B53" s="31"/>
      <c r="C53" s="31"/>
      <c r="D53" s="31"/>
      <c r="E53" s="32"/>
    </row>
    <row r="54" customFormat="false" ht="15" hidden="false" customHeight="false" outlineLevel="0" collapsed="false">
      <c r="A54" s="27"/>
      <c r="B54" s="28"/>
      <c r="C54" s="28"/>
      <c r="D54" s="28"/>
      <c r="E54" s="29"/>
    </row>
    <row r="55" customFormat="false" ht="15" hidden="false" customHeight="false" outlineLevel="0" collapsed="false">
      <c r="A55" s="30"/>
      <c r="B55" s="31"/>
      <c r="C55" s="31"/>
      <c r="D55" s="31"/>
      <c r="E55" s="32"/>
    </row>
    <row r="56" customFormat="false" ht="15" hidden="false" customHeight="false" outlineLevel="0" collapsed="false">
      <c r="A56" s="27"/>
      <c r="B56" s="28"/>
      <c r="C56" s="28"/>
      <c r="D56" s="28"/>
      <c r="E56" s="29"/>
    </row>
    <row r="57" customFormat="false" ht="15" hidden="false" customHeight="false" outlineLevel="0" collapsed="false">
      <c r="A57" s="30"/>
      <c r="B57" s="31"/>
      <c r="C57" s="31"/>
      <c r="D57" s="31"/>
      <c r="E57" s="32"/>
    </row>
    <row r="58" customFormat="false" ht="15" hidden="false" customHeight="false" outlineLevel="0" collapsed="false">
      <c r="A58" s="27"/>
      <c r="B58" s="28"/>
      <c r="C58" s="28"/>
      <c r="D58" s="28"/>
      <c r="E58" s="29"/>
    </row>
    <row r="59" customFormat="false" ht="15" hidden="false" customHeight="false" outlineLevel="0" collapsed="false">
      <c r="A59" s="30"/>
      <c r="B59" s="31"/>
      <c r="C59" s="31"/>
      <c r="D59" s="31"/>
      <c r="E59" s="32"/>
    </row>
    <row r="60" customFormat="false" ht="15" hidden="false" customHeight="false" outlineLevel="0" collapsed="false">
      <c r="A60" s="27"/>
      <c r="B60" s="28"/>
      <c r="C60" s="28"/>
      <c r="D60" s="28"/>
      <c r="E60" s="29"/>
    </row>
    <row r="61" customFormat="false" ht="15" hidden="false" customHeight="false" outlineLevel="0" collapsed="false">
      <c r="A61" s="30"/>
      <c r="B61" s="31"/>
      <c r="C61" s="31"/>
      <c r="D61" s="31"/>
      <c r="E61" s="32"/>
    </row>
    <row r="62" customFormat="false" ht="15" hidden="false" customHeight="false" outlineLevel="0" collapsed="false">
      <c r="A62" s="27"/>
      <c r="B62" s="28"/>
      <c r="C62" s="28"/>
      <c r="D62" s="28"/>
      <c r="E62" s="29"/>
    </row>
    <row r="63" customFormat="false" ht="15" hidden="false" customHeight="false" outlineLevel="0" collapsed="false">
      <c r="A63" s="30"/>
      <c r="B63" s="31"/>
      <c r="C63" s="31"/>
      <c r="D63" s="31"/>
      <c r="E63" s="32"/>
    </row>
    <row r="64" customFormat="false" ht="15" hidden="false" customHeight="false" outlineLevel="0" collapsed="false">
      <c r="A64" s="27"/>
      <c r="B64" s="28"/>
      <c r="C64" s="28"/>
      <c r="D64" s="28"/>
      <c r="E64" s="29"/>
    </row>
    <row r="65" customFormat="false" ht="15" hidden="false" customHeight="false" outlineLevel="0" collapsed="false">
      <c r="A65" s="30"/>
      <c r="B65" s="31"/>
      <c r="C65" s="31"/>
      <c r="D65" s="31"/>
      <c r="E65" s="32"/>
    </row>
    <row r="66" customFormat="false" ht="15" hidden="false" customHeight="false" outlineLevel="0" collapsed="false">
      <c r="A66" s="27"/>
      <c r="B66" s="28"/>
      <c r="C66" s="28"/>
      <c r="D66" s="28"/>
      <c r="E66" s="29"/>
    </row>
    <row r="67" customFormat="false" ht="15" hidden="false" customHeight="false" outlineLevel="0" collapsed="false">
      <c r="A67" s="30"/>
      <c r="B67" s="31"/>
      <c r="C67" s="31"/>
      <c r="D67" s="31"/>
      <c r="E67" s="32"/>
    </row>
    <row r="68" customFormat="false" ht="15" hidden="false" customHeight="false" outlineLevel="0" collapsed="false">
      <c r="A68" s="27"/>
      <c r="B68" s="28"/>
      <c r="C68" s="28"/>
      <c r="D68" s="28"/>
      <c r="E68" s="29"/>
    </row>
    <row r="69" customFormat="false" ht="15" hidden="false" customHeight="false" outlineLevel="0" collapsed="false">
      <c r="A69" s="30"/>
      <c r="B69" s="31"/>
      <c r="C69" s="31"/>
      <c r="D69" s="31"/>
      <c r="E69" s="32"/>
    </row>
    <row r="70" customFormat="false" ht="15" hidden="false" customHeight="false" outlineLevel="0" collapsed="false">
      <c r="A70" s="27"/>
      <c r="B70" s="28"/>
      <c r="C70" s="28"/>
      <c r="D70" s="28"/>
      <c r="E70" s="29"/>
    </row>
    <row r="71" customFormat="false" ht="15" hidden="false" customHeight="false" outlineLevel="0" collapsed="false">
      <c r="A71" s="30"/>
      <c r="B71" s="31"/>
      <c r="C71" s="31"/>
      <c r="D71" s="31"/>
      <c r="E71" s="32"/>
    </row>
    <row r="72" customFormat="false" ht="15" hidden="false" customHeight="false" outlineLevel="0" collapsed="false">
      <c r="A72" s="27"/>
      <c r="B72" s="28"/>
      <c r="C72" s="28"/>
      <c r="D72" s="28"/>
      <c r="E72" s="29"/>
    </row>
    <row r="73" customFormat="false" ht="15" hidden="false" customHeight="false" outlineLevel="0" collapsed="false">
      <c r="A73" s="30"/>
      <c r="B73" s="31"/>
      <c r="C73" s="31"/>
      <c r="D73" s="31"/>
      <c r="E73" s="32"/>
    </row>
    <row r="74" customFormat="false" ht="15" hidden="false" customHeight="false" outlineLevel="0" collapsed="false">
      <c r="A74" s="27"/>
      <c r="B74" s="28"/>
      <c r="C74" s="28"/>
      <c r="D74" s="28"/>
      <c r="E74" s="29"/>
    </row>
    <row r="75" customFormat="false" ht="15" hidden="false" customHeight="false" outlineLevel="0" collapsed="false">
      <c r="A75" s="30"/>
      <c r="B75" s="31"/>
      <c r="C75" s="31"/>
      <c r="D75" s="31"/>
      <c r="E75" s="32"/>
    </row>
    <row r="76" customFormat="false" ht="15" hidden="false" customHeight="false" outlineLevel="0" collapsed="false">
      <c r="A76" s="27"/>
      <c r="B76" s="28"/>
      <c r="C76" s="28"/>
      <c r="D76" s="28"/>
      <c r="E76" s="29"/>
    </row>
    <row r="77" customFormat="false" ht="15" hidden="false" customHeight="false" outlineLevel="0" collapsed="false">
      <c r="A77" s="30"/>
      <c r="B77" s="31"/>
      <c r="C77" s="31"/>
      <c r="D77" s="31"/>
      <c r="E77" s="32"/>
    </row>
    <row r="78" customFormat="false" ht="15" hidden="false" customHeight="false" outlineLevel="0" collapsed="false">
      <c r="A78" s="27"/>
      <c r="B78" s="28"/>
      <c r="C78" s="28"/>
      <c r="D78" s="28"/>
      <c r="E78" s="29"/>
    </row>
    <row r="79" customFormat="false" ht="15" hidden="false" customHeight="false" outlineLevel="0" collapsed="false">
      <c r="A79" s="30"/>
      <c r="B79" s="31"/>
      <c r="C79" s="31"/>
      <c r="D79" s="31"/>
      <c r="E79" s="32"/>
    </row>
    <row r="80" customFormat="false" ht="15" hidden="false" customHeight="false" outlineLevel="0" collapsed="false">
      <c r="A80" s="27"/>
      <c r="B80" s="28"/>
      <c r="C80" s="28"/>
      <c r="D80" s="28"/>
      <c r="E80" s="29"/>
    </row>
    <row r="81" customFormat="false" ht="15" hidden="false" customHeight="false" outlineLevel="0" collapsed="false">
      <c r="A81" s="30"/>
      <c r="B81" s="31"/>
      <c r="C81" s="31"/>
      <c r="D81" s="31"/>
      <c r="E81" s="32"/>
    </row>
    <row r="82" customFormat="false" ht="15" hidden="false" customHeight="false" outlineLevel="0" collapsed="false">
      <c r="A82" s="27"/>
      <c r="B82" s="28"/>
      <c r="C82" s="28"/>
      <c r="D82" s="28"/>
      <c r="E82" s="29"/>
    </row>
    <row r="83" customFormat="false" ht="15" hidden="false" customHeight="false" outlineLevel="0" collapsed="false">
      <c r="A83" s="30"/>
      <c r="B83" s="31"/>
      <c r="C83" s="31"/>
      <c r="D83" s="31"/>
      <c r="E83" s="32"/>
    </row>
    <row r="84" customFormat="false" ht="15" hidden="false" customHeight="false" outlineLevel="0" collapsed="false">
      <c r="A84" s="27"/>
      <c r="B84" s="28"/>
      <c r="C84" s="28"/>
      <c r="D84" s="28"/>
      <c r="E84" s="29"/>
    </row>
    <row r="85" customFormat="false" ht="15" hidden="false" customHeight="false" outlineLevel="0" collapsed="false">
      <c r="A85" s="30"/>
      <c r="B85" s="31"/>
      <c r="C85" s="31"/>
      <c r="D85" s="31"/>
      <c r="E85" s="32"/>
    </row>
    <row r="86" customFormat="false" ht="15" hidden="false" customHeight="false" outlineLevel="0" collapsed="false">
      <c r="A86" s="27"/>
      <c r="B86" s="28"/>
      <c r="C86" s="28"/>
      <c r="D86" s="28"/>
      <c r="E86" s="29"/>
    </row>
    <row r="87" customFormat="false" ht="15" hidden="false" customHeight="false" outlineLevel="0" collapsed="false">
      <c r="A87" s="30"/>
      <c r="B87" s="31"/>
      <c r="C87" s="31"/>
      <c r="D87" s="31"/>
      <c r="E87" s="32"/>
    </row>
    <row r="88" customFormat="false" ht="15" hidden="false" customHeight="false" outlineLevel="0" collapsed="false">
      <c r="A88" s="27"/>
      <c r="B88" s="28"/>
      <c r="C88" s="28"/>
      <c r="D88" s="28"/>
      <c r="E88" s="29"/>
    </row>
    <row r="89" customFormat="false" ht="15" hidden="false" customHeight="false" outlineLevel="0" collapsed="false">
      <c r="A89" s="30"/>
      <c r="B89" s="31"/>
      <c r="C89" s="31"/>
      <c r="D89" s="31"/>
      <c r="E89" s="32"/>
    </row>
    <row r="90" customFormat="false" ht="15" hidden="false" customHeight="false" outlineLevel="0" collapsed="false">
      <c r="A90" s="27"/>
      <c r="B90" s="28"/>
      <c r="C90" s="28"/>
      <c r="D90" s="28"/>
      <c r="E90" s="29"/>
    </row>
    <row r="91" customFormat="false" ht="15" hidden="false" customHeight="false" outlineLevel="0" collapsed="false">
      <c r="A91" s="30"/>
      <c r="B91" s="31"/>
      <c r="C91" s="31"/>
      <c r="D91" s="31"/>
      <c r="E91" s="32"/>
    </row>
    <row r="92" customFormat="false" ht="15" hidden="false" customHeight="false" outlineLevel="0" collapsed="false">
      <c r="A92" s="27"/>
      <c r="B92" s="28"/>
      <c r="C92" s="28"/>
      <c r="D92" s="28"/>
      <c r="E92" s="29"/>
    </row>
    <row r="93" customFormat="false" ht="15" hidden="false" customHeight="false" outlineLevel="0" collapsed="false">
      <c r="A93" s="30"/>
      <c r="B93" s="31"/>
      <c r="C93" s="31"/>
      <c r="D93" s="31"/>
      <c r="E93" s="32"/>
    </row>
    <row r="94" customFormat="false" ht="15" hidden="false" customHeight="false" outlineLevel="0" collapsed="false">
      <c r="A94" s="27"/>
      <c r="B94" s="28"/>
      <c r="C94" s="28"/>
      <c r="D94" s="28"/>
      <c r="E94" s="29"/>
    </row>
    <row r="95" customFormat="false" ht="15" hidden="false" customHeight="false" outlineLevel="0" collapsed="false">
      <c r="A95" s="30"/>
      <c r="B95" s="31"/>
      <c r="C95" s="31"/>
      <c r="D95" s="31"/>
      <c r="E95" s="32"/>
    </row>
    <row r="96" customFormat="false" ht="15" hidden="false" customHeight="false" outlineLevel="0" collapsed="false">
      <c r="A96" s="27"/>
      <c r="B96" s="28"/>
      <c r="C96" s="28"/>
      <c r="D96" s="28"/>
      <c r="E96" s="29"/>
    </row>
    <row r="97" customFormat="false" ht="15" hidden="false" customHeight="false" outlineLevel="0" collapsed="false">
      <c r="A97" s="30"/>
      <c r="B97" s="31"/>
      <c r="C97" s="31"/>
      <c r="D97" s="31"/>
      <c r="E97" s="32"/>
    </row>
    <row r="98" customFormat="false" ht="15" hidden="false" customHeight="false" outlineLevel="0" collapsed="false">
      <c r="A98" s="27"/>
      <c r="B98" s="28"/>
      <c r="C98" s="28"/>
      <c r="D98" s="28"/>
      <c r="E98" s="29"/>
    </row>
    <row r="99" customFormat="false" ht="15" hidden="false" customHeight="false" outlineLevel="0" collapsed="false">
      <c r="A99" s="30"/>
      <c r="B99" s="31"/>
      <c r="C99" s="31"/>
      <c r="D99" s="31"/>
      <c r="E99" s="32"/>
    </row>
    <row r="100" customFormat="false" ht="15" hidden="false" customHeight="false" outlineLevel="0" collapsed="false">
      <c r="A100" s="27"/>
      <c r="B100" s="28"/>
      <c r="C100" s="28"/>
      <c r="D100" s="28"/>
      <c r="E100" s="29"/>
    </row>
    <row r="101" customFormat="false" ht="15" hidden="false" customHeight="false" outlineLevel="0" collapsed="false">
      <c r="A101" s="30"/>
      <c r="B101" s="31"/>
      <c r="C101" s="31"/>
      <c r="D101" s="31"/>
      <c r="E101" s="32"/>
    </row>
    <row r="102" customFormat="false" ht="15" hidden="false" customHeight="false" outlineLevel="0" collapsed="false">
      <c r="A102" s="27"/>
      <c r="B102" s="28"/>
      <c r="C102" s="28"/>
      <c r="D102" s="28"/>
      <c r="E102" s="29"/>
    </row>
    <row r="103" customFormat="false" ht="15" hidden="false" customHeight="false" outlineLevel="0" collapsed="false">
      <c r="A103" s="30"/>
      <c r="B103" s="31"/>
      <c r="C103" s="31"/>
      <c r="D103" s="31"/>
      <c r="E103" s="32"/>
    </row>
    <row r="104" customFormat="false" ht="15" hidden="false" customHeight="false" outlineLevel="0" collapsed="false">
      <c r="A104" s="27"/>
      <c r="B104" s="28"/>
      <c r="C104" s="28"/>
      <c r="D104" s="28"/>
      <c r="E104" s="29"/>
    </row>
    <row r="105" customFormat="false" ht="15" hidden="false" customHeight="false" outlineLevel="0" collapsed="false">
      <c r="A105" s="30"/>
      <c r="B105" s="31"/>
      <c r="C105" s="31"/>
      <c r="D105" s="31"/>
      <c r="E105" s="32"/>
    </row>
    <row r="106" customFormat="false" ht="15" hidden="false" customHeight="false" outlineLevel="0" collapsed="false">
      <c r="A106" s="27"/>
      <c r="B106" s="28"/>
      <c r="C106" s="28"/>
      <c r="D106" s="28"/>
      <c r="E106" s="29"/>
    </row>
    <row r="107" customFormat="false" ht="15" hidden="false" customHeight="false" outlineLevel="0" collapsed="false">
      <c r="A107" s="30"/>
      <c r="B107" s="31"/>
      <c r="C107" s="31"/>
      <c r="D107" s="31"/>
      <c r="E107" s="32"/>
    </row>
    <row r="108" customFormat="false" ht="15" hidden="false" customHeight="false" outlineLevel="0" collapsed="false">
      <c r="A108" s="27"/>
      <c r="B108" s="28"/>
      <c r="C108" s="28"/>
      <c r="D108" s="28"/>
      <c r="E108" s="29"/>
    </row>
    <row r="109" customFormat="false" ht="15" hidden="false" customHeight="false" outlineLevel="0" collapsed="false">
      <c r="A109" s="30"/>
      <c r="B109" s="31"/>
      <c r="C109" s="31"/>
      <c r="D109" s="31"/>
      <c r="E109" s="32"/>
    </row>
    <row r="110" customFormat="false" ht="15" hidden="false" customHeight="false" outlineLevel="0" collapsed="false">
      <c r="A110" s="27"/>
      <c r="B110" s="28"/>
      <c r="C110" s="28"/>
      <c r="D110" s="28"/>
      <c r="E110" s="29"/>
    </row>
    <row r="111" customFormat="false" ht="15" hidden="false" customHeight="false" outlineLevel="0" collapsed="false">
      <c r="A111" s="30"/>
      <c r="B111" s="31"/>
      <c r="C111" s="31"/>
      <c r="D111" s="31"/>
      <c r="E111" s="32"/>
    </row>
    <row r="112" customFormat="false" ht="15" hidden="false" customHeight="false" outlineLevel="0" collapsed="false">
      <c r="A112" s="27"/>
      <c r="B112" s="28"/>
      <c r="C112" s="28"/>
      <c r="D112" s="28"/>
      <c r="E112" s="29"/>
    </row>
    <row r="113" customFormat="false" ht="15" hidden="false" customHeight="false" outlineLevel="0" collapsed="false">
      <c r="A113" s="30"/>
      <c r="B113" s="31"/>
      <c r="C113" s="31"/>
      <c r="D113" s="31"/>
      <c r="E113" s="32"/>
    </row>
    <row r="114" customFormat="false" ht="15" hidden="false" customHeight="false" outlineLevel="0" collapsed="false">
      <c r="A114" s="27"/>
      <c r="B114" s="28"/>
      <c r="C114" s="28"/>
      <c r="D114" s="28"/>
      <c r="E114" s="29"/>
    </row>
    <row r="115" customFormat="false" ht="15" hidden="false" customHeight="false" outlineLevel="0" collapsed="false">
      <c r="A115" s="30"/>
      <c r="B115" s="31"/>
      <c r="C115" s="31"/>
      <c r="D115" s="31"/>
      <c r="E115" s="32"/>
    </row>
    <row r="116" customFormat="false" ht="15" hidden="false" customHeight="false" outlineLevel="0" collapsed="false">
      <c r="A116" s="27"/>
      <c r="B116" s="28"/>
      <c r="C116" s="28"/>
      <c r="D116" s="28"/>
      <c r="E116" s="29"/>
    </row>
    <row r="117" customFormat="false" ht="15" hidden="false" customHeight="false" outlineLevel="0" collapsed="false">
      <c r="A117" s="30"/>
      <c r="B117" s="31"/>
      <c r="C117" s="31"/>
      <c r="D117" s="31"/>
      <c r="E117" s="32"/>
    </row>
    <row r="118" customFormat="false" ht="15" hidden="false" customHeight="false" outlineLevel="0" collapsed="false">
      <c r="A118" s="27"/>
      <c r="B118" s="28"/>
      <c r="C118" s="28"/>
      <c r="D118" s="28"/>
      <c r="E118" s="29"/>
    </row>
    <row r="119" customFormat="false" ht="15" hidden="false" customHeight="false" outlineLevel="0" collapsed="false">
      <c r="A119" s="30"/>
      <c r="B119" s="31"/>
      <c r="C119" s="31"/>
      <c r="D119" s="31"/>
      <c r="E119" s="32"/>
    </row>
    <row r="120" customFormat="false" ht="15" hidden="false" customHeight="false" outlineLevel="0" collapsed="false">
      <c r="A120" s="27"/>
      <c r="B120" s="28"/>
      <c r="C120" s="28"/>
      <c r="D120" s="28"/>
      <c r="E120" s="29"/>
    </row>
    <row r="121" customFormat="false" ht="15" hidden="false" customHeight="false" outlineLevel="0" collapsed="false">
      <c r="A121" s="30"/>
      <c r="B121" s="31"/>
      <c r="C121" s="31"/>
      <c r="D121" s="31"/>
      <c r="E121" s="32"/>
    </row>
    <row r="122" customFormat="false" ht="15" hidden="false" customHeight="false" outlineLevel="0" collapsed="false">
      <c r="A122" s="27"/>
      <c r="B122" s="28"/>
      <c r="C122" s="28"/>
      <c r="D122" s="28"/>
      <c r="E122" s="29"/>
    </row>
    <row r="123" customFormat="false" ht="15" hidden="false" customHeight="false" outlineLevel="0" collapsed="false">
      <c r="A123" s="30"/>
      <c r="B123" s="31"/>
      <c r="C123" s="31"/>
      <c r="D123" s="31"/>
      <c r="E123" s="32"/>
    </row>
    <row r="124" customFormat="false" ht="15" hidden="false" customHeight="false" outlineLevel="0" collapsed="false">
      <c r="A124" s="27"/>
      <c r="B124" s="28"/>
      <c r="C124" s="28"/>
      <c r="D124" s="28"/>
      <c r="E124" s="29"/>
    </row>
    <row r="125" customFormat="false" ht="15" hidden="false" customHeight="false" outlineLevel="0" collapsed="false">
      <c r="A125" s="30"/>
      <c r="B125" s="31"/>
      <c r="C125" s="31"/>
      <c r="D125" s="31"/>
      <c r="E125" s="32"/>
    </row>
    <row r="126" customFormat="false" ht="15" hidden="false" customHeight="false" outlineLevel="0" collapsed="false">
      <c r="A126" s="27"/>
      <c r="B126" s="28"/>
      <c r="C126" s="28"/>
      <c r="D126" s="28"/>
      <c r="E126" s="29"/>
    </row>
    <row r="127" customFormat="false" ht="15" hidden="false" customHeight="false" outlineLevel="0" collapsed="false">
      <c r="A127" s="30"/>
      <c r="B127" s="31"/>
      <c r="C127" s="31"/>
      <c r="D127" s="31"/>
      <c r="E127" s="32"/>
    </row>
    <row r="128" customFormat="false" ht="15" hidden="false" customHeight="false" outlineLevel="0" collapsed="false">
      <c r="A128" s="27"/>
      <c r="B128" s="28"/>
      <c r="C128" s="28"/>
      <c r="D128" s="28"/>
      <c r="E128" s="29"/>
    </row>
    <row r="129" customFormat="false" ht="15" hidden="false" customHeight="false" outlineLevel="0" collapsed="false">
      <c r="A129" s="30"/>
      <c r="B129" s="31"/>
      <c r="C129" s="31"/>
      <c r="D129" s="31"/>
      <c r="E129" s="32"/>
    </row>
    <row r="130" customFormat="false" ht="15" hidden="false" customHeight="false" outlineLevel="0" collapsed="false">
      <c r="A130" s="27"/>
      <c r="B130" s="28"/>
      <c r="C130" s="28"/>
      <c r="D130" s="28"/>
      <c r="E130" s="29"/>
    </row>
    <row r="131" customFormat="false" ht="15" hidden="false" customHeight="false" outlineLevel="0" collapsed="false">
      <c r="A131" s="30"/>
      <c r="B131" s="31"/>
      <c r="C131" s="31"/>
      <c r="D131" s="31"/>
      <c r="E131" s="32"/>
    </row>
    <row r="132" customFormat="false" ht="15" hidden="false" customHeight="false" outlineLevel="0" collapsed="false">
      <c r="A132" s="27"/>
      <c r="B132" s="28"/>
      <c r="C132" s="28"/>
      <c r="D132" s="28"/>
      <c r="E132" s="29"/>
    </row>
    <row r="133" customFormat="false" ht="15" hidden="false" customHeight="false" outlineLevel="0" collapsed="false">
      <c r="A133" s="30"/>
      <c r="B133" s="31"/>
      <c r="C133" s="31"/>
      <c r="D133" s="31"/>
      <c r="E133" s="32"/>
    </row>
    <row r="134" customFormat="false" ht="15" hidden="false" customHeight="false" outlineLevel="0" collapsed="false">
      <c r="A134" s="27"/>
      <c r="B134" s="28"/>
      <c r="C134" s="28"/>
      <c r="D134" s="28"/>
      <c r="E134" s="29"/>
    </row>
    <row r="135" customFormat="false" ht="15" hidden="false" customHeight="false" outlineLevel="0" collapsed="false">
      <c r="A135" s="30"/>
      <c r="B135" s="31"/>
      <c r="C135" s="31"/>
      <c r="D135" s="31"/>
      <c r="E135" s="32"/>
    </row>
    <row r="136" customFormat="false" ht="15" hidden="false" customHeight="false" outlineLevel="0" collapsed="false">
      <c r="A136" s="27"/>
      <c r="B136" s="28"/>
      <c r="C136" s="28"/>
      <c r="D136" s="28"/>
      <c r="E136" s="29"/>
    </row>
    <row r="137" customFormat="false" ht="15" hidden="false" customHeight="false" outlineLevel="0" collapsed="false">
      <c r="A137" s="30"/>
      <c r="B137" s="31"/>
      <c r="C137" s="31"/>
      <c r="D137" s="31"/>
      <c r="E137" s="32"/>
    </row>
    <row r="138" customFormat="false" ht="15" hidden="false" customHeight="false" outlineLevel="0" collapsed="false">
      <c r="A138" s="27"/>
      <c r="B138" s="28"/>
      <c r="C138" s="28"/>
      <c r="D138" s="28"/>
      <c r="E138" s="29"/>
    </row>
    <row r="139" customFormat="false" ht="15" hidden="false" customHeight="false" outlineLevel="0" collapsed="false">
      <c r="A139" s="30"/>
      <c r="B139" s="31"/>
      <c r="C139" s="31"/>
      <c r="D139" s="31"/>
      <c r="E139" s="32"/>
    </row>
    <row r="140" customFormat="false" ht="15" hidden="false" customHeight="false" outlineLevel="0" collapsed="false">
      <c r="A140" s="27"/>
      <c r="B140" s="28"/>
      <c r="C140" s="28"/>
      <c r="D140" s="28"/>
      <c r="E140" s="29"/>
    </row>
    <row r="141" customFormat="false" ht="15" hidden="false" customHeight="false" outlineLevel="0" collapsed="false">
      <c r="A141" s="30"/>
      <c r="B141" s="31"/>
      <c r="C141" s="31"/>
      <c r="D141" s="31"/>
      <c r="E141" s="32"/>
    </row>
    <row r="142" customFormat="false" ht="15" hidden="false" customHeight="false" outlineLevel="0" collapsed="false">
      <c r="A142" s="27"/>
      <c r="B142" s="28"/>
      <c r="C142" s="28"/>
      <c r="D142" s="28"/>
      <c r="E142" s="29"/>
    </row>
    <row r="143" customFormat="false" ht="15" hidden="false" customHeight="false" outlineLevel="0" collapsed="false">
      <c r="A143" s="30"/>
      <c r="B143" s="31"/>
      <c r="C143" s="31"/>
      <c r="D143" s="31"/>
      <c r="E143" s="32"/>
    </row>
    <row r="144" customFormat="false" ht="15" hidden="false" customHeight="false" outlineLevel="0" collapsed="false">
      <c r="A144" s="27"/>
      <c r="B144" s="28"/>
      <c r="C144" s="28"/>
      <c r="D144" s="28"/>
      <c r="E144" s="29"/>
    </row>
    <row r="145" customFormat="false" ht="15" hidden="false" customHeight="false" outlineLevel="0" collapsed="false">
      <c r="A145" s="30"/>
      <c r="B145" s="31"/>
      <c r="C145" s="31"/>
      <c r="D145" s="31"/>
      <c r="E145" s="32"/>
    </row>
    <row r="146" customFormat="false" ht="15" hidden="false" customHeight="false" outlineLevel="0" collapsed="false">
      <c r="A146" s="27"/>
      <c r="B146" s="28"/>
      <c r="C146" s="28"/>
      <c r="D146" s="28"/>
      <c r="E146" s="29"/>
    </row>
    <row r="147" customFormat="false" ht="15" hidden="false" customHeight="false" outlineLevel="0" collapsed="false">
      <c r="A147" s="30"/>
      <c r="B147" s="31"/>
      <c r="C147" s="31"/>
      <c r="D147" s="31"/>
      <c r="E147" s="32"/>
    </row>
    <row r="148" customFormat="false" ht="15" hidden="false" customHeight="false" outlineLevel="0" collapsed="false">
      <c r="A148" s="27"/>
      <c r="B148" s="28"/>
      <c r="C148" s="28"/>
      <c r="D148" s="28"/>
      <c r="E148" s="29"/>
    </row>
    <row r="149" customFormat="false" ht="15" hidden="false" customHeight="false" outlineLevel="0" collapsed="false">
      <c r="A149" s="30"/>
      <c r="B149" s="31"/>
      <c r="C149" s="31"/>
      <c r="D149" s="31"/>
      <c r="E149" s="32"/>
    </row>
    <row r="150" customFormat="false" ht="15" hidden="false" customHeight="false" outlineLevel="0" collapsed="false">
      <c r="A150" s="27"/>
      <c r="B150" s="28"/>
      <c r="C150" s="28"/>
      <c r="D150" s="28"/>
      <c r="E150" s="29"/>
    </row>
    <row r="151" customFormat="false" ht="15" hidden="false" customHeight="false" outlineLevel="0" collapsed="false">
      <c r="A151" s="30"/>
      <c r="B151" s="31"/>
      <c r="C151" s="31"/>
      <c r="D151" s="31"/>
      <c r="E151" s="32"/>
    </row>
    <row r="152" customFormat="false" ht="15" hidden="false" customHeight="false" outlineLevel="0" collapsed="false">
      <c r="A152" s="27"/>
      <c r="B152" s="28"/>
      <c r="C152" s="28"/>
      <c r="D152" s="28"/>
      <c r="E152" s="29"/>
    </row>
    <row r="153" customFormat="false" ht="15" hidden="false" customHeight="false" outlineLevel="0" collapsed="false">
      <c r="A153" s="30"/>
      <c r="B153" s="31"/>
      <c r="C153" s="31"/>
      <c r="D153" s="31"/>
      <c r="E153" s="32"/>
    </row>
    <row r="154" customFormat="false" ht="15" hidden="false" customHeight="false" outlineLevel="0" collapsed="false">
      <c r="A154" s="33"/>
      <c r="B154" s="33"/>
      <c r="C154" s="33"/>
      <c r="D154" s="34" t="s">
        <v>39</v>
      </c>
      <c r="E154" s="35" t="n">
        <f aca="false">SUM(E4:E153)</f>
        <v>2227.9</v>
      </c>
    </row>
  </sheetData>
  <mergeCells count="2">
    <mergeCell ref="A1:E1"/>
    <mergeCell ref="A2:E2"/>
  </mergeCells>
  <dataValidations count="3">
    <dataValidation allowBlank="true" errorStyle="stop" operator="between" showDropDown="false" showErrorMessage="false" showInputMessage="false" sqref="C4:C153" type="list">
      <formula1>ExpenseCategories</formula1>
      <formula2>0</formula2>
    </dataValidation>
    <dataValidation allowBlank="true" errorStyle="stop" operator="between" showDropDown="false" showErrorMessage="false" showInputMessage="false" sqref="D4:D153" type="list">
      <formula1>PaymentMethods</formula1>
      <formula2>0</formula2>
    </dataValidation>
    <dataValidation allowBlank="true" errorStyle="stop" operator="greaterThan" showDropDown="false" showErrorMessage="false" showInputMessage="false" sqref="A4:A153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tru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</cols>
  <sheetData>
    <row r="1" customFormat="false" ht="33.75" hidden="false" customHeight="true" outlineLevel="0" collapsed="false">
      <c r="A1" s="24" t="s">
        <v>54</v>
      </c>
      <c r="B1" s="24"/>
      <c r="C1" s="24"/>
      <c r="D1" s="24"/>
    </row>
    <row r="2" customFormat="false" ht="18" hidden="false" customHeight="true" outlineLevel="0" collapsed="false">
      <c r="A2" s="25" t="s">
        <v>55</v>
      </c>
      <c r="B2" s="25"/>
      <c r="C2" s="25"/>
      <c r="D2" s="25"/>
    </row>
    <row r="3" customFormat="false" ht="24" hidden="false" customHeight="true" outlineLevel="0" collapsed="false">
      <c r="A3" s="26" t="s">
        <v>56</v>
      </c>
      <c r="B3" s="26" t="s">
        <v>57</v>
      </c>
      <c r="C3" s="26" t="s">
        <v>19</v>
      </c>
      <c r="D3" s="26" t="s">
        <v>58</v>
      </c>
    </row>
    <row r="4" customFormat="false" ht="15" hidden="false" customHeight="false" outlineLevel="0" collapsed="false">
      <c r="A4" s="28" t="s">
        <v>59</v>
      </c>
      <c r="B4" s="27" t="n">
        <v>46235</v>
      </c>
      <c r="C4" s="29" t="n">
        <v>1800</v>
      </c>
      <c r="D4" s="28" t="s">
        <v>60</v>
      </c>
    </row>
    <row r="5" customFormat="false" ht="15" hidden="false" customHeight="false" outlineLevel="0" collapsed="false">
      <c r="A5" s="31" t="s">
        <v>61</v>
      </c>
      <c r="B5" s="30" t="n">
        <v>46249</v>
      </c>
      <c r="C5" s="32" t="n">
        <v>110</v>
      </c>
      <c r="D5" s="31" t="s">
        <v>62</v>
      </c>
    </row>
    <row r="6" customFormat="false" ht="15" hidden="false" customHeight="false" outlineLevel="0" collapsed="false">
      <c r="A6" s="28" t="s">
        <v>63</v>
      </c>
      <c r="B6" s="27" t="n">
        <v>46244</v>
      </c>
      <c r="C6" s="29" t="n">
        <v>60</v>
      </c>
      <c r="D6" s="28" t="s">
        <v>60</v>
      </c>
    </row>
    <row r="7" customFormat="false" ht="15" hidden="false" customHeight="false" outlineLevel="0" collapsed="false">
      <c r="A7" s="31" t="s">
        <v>64</v>
      </c>
      <c r="B7" s="30" t="n">
        <v>46239</v>
      </c>
      <c r="C7" s="32" t="n">
        <v>320</v>
      </c>
      <c r="D7" s="31" t="s">
        <v>62</v>
      </c>
    </row>
    <row r="8" customFormat="false" ht="15" hidden="false" customHeight="false" outlineLevel="0" collapsed="false">
      <c r="A8" s="28" t="s">
        <v>65</v>
      </c>
      <c r="B8" s="27" t="n">
        <v>46254</v>
      </c>
      <c r="C8" s="29" t="n">
        <v>55</v>
      </c>
      <c r="D8" s="28" t="s">
        <v>62</v>
      </c>
    </row>
    <row r="9" customFormat="false" ht="15" hidden="false" customHeight="false" outlineLevel="0" collapsed="false">
      <c r="A9" s="31"/>
      <c r="B9" s="30"/>
      <c r="C9" s="32"/>
      <c r="D9" s="31"/>
    </row>
    <row r="10" customFormat="false" ht="15" hidden="false" customHeight="false" outlineLevel="0" collapsed="false">
      <c r="A10" s="28"/>
      <c r="B10" s="27"/>
      <c r="C10" s="29"/>
      <c r="D10" s="28"/>
    </row>
    <row r="11" customFormat="false" ht="15" hidden="false" customHeight="false" outlineLevel="0" collapsed="false">
      <c r="A11" s="31"/>
      <c r="B11" s="30"/>
      <c r="C11" s="32"/>
      <c r="D11" s="31"/>
    </row>
    <row r="12" customFormat="false" ht="15" hidden="false" customHeight="false" outlineLevel="0" collapsed="false">
      <c r="A12" s="28"/>
      <c r="B12" s="27"/>
      <c r="C12" s="29"/>
      <c r="D12" s="28"/>
    </row>
    <row r="13" customFormat="false" ht="15" hidden="false" customHeight="false" outlineLevel="0" collapsed="false">
      <c r="A13" s="31"/>
      <c r="B13" s="30"/>
      <c r="C13" s="32"/>
      <c r="D13" s="31"/>
    </row>
    <row r="14" customFormat="false" ht="15" hidden="false" customHeight="false" outlineLevel="0" collapsed="false">
      <c r="A14" s="28"/>
      <c r="B14" s="27"/>
      <c r="C14" s="29"/>
      <c r="D14" s="28"/>
    </row>
    <row r="15" customFormat="false" ht="15" hidden="false" customHeight="false" outlineLevel="0" collapsed="false">
      <c r="A15" s="31"/>
      <c r="B15" s="30"/>
      <c r="C15" s="32"/>
      <c r="D15" s="31"/>
    </row>
    <row r="16" customFormat="false" ht="15" hidden="false" customHeight="false" outlineLevel="0" collapsed="false">
      <c r="A16" s="28"/>
      <c r="B16" s="27"/>
      <c r="C16" s="29"/>
      <c r="D16" s="28"/>
    </row>
    <row r="17" customFormat="false" ht="15" hidden="false" customHeight="false" outlineLevel="0" collapsed="false">
      <c r="A17" s="31"/>
      <c r="B17" s="30"/>
      <c r="C17" s="32"/>
      <c r="D17" s="31"/>
    </row>
    <row r="18" customFormat="false" ht="15" hidden="false" customHeight="false" outlineLevel="0" collapsed="false">
      <c r="A18" s="28"/>
      <c r="B18" s="27"/>
      <c r="C18" s="29"/>
      <c r="D18" s="28"/>
    </row>
    <row r="19" customFormat="false" ht="15" hidden="false" customHeight="false" outlineLevel="0" collapsed="false">
      <c r="A19" s="31"/>
      <c r="B19" s="30"/>
      <c r="C19" s="32"/>
      <c r="D19" s="31"/>
    </row>
    <row r="20" customFormat="false" ht="15" hidden="false" customHeight="false" outlineLevel="0" collapsed="false">
      <c r="A20" s="28"/>
      <c r="B20" s="27"/>
      <c r="C20" s="29"/>
      <c r="D20" s="28"/>
    </row>
    <row r="21" customFormat="false" ht="15" hidden="false" customHeight="false" outlineLevel="0" collapsed="false">
      <c r="A21" s="31"/>
      <c r="B21" s="30"/>
      <c r="C21" s="32"/>
      <c r="D21" s="31"/>
    </row>
    <row r="22" customFormat="false" ht="15" hidden="false" customHeight="false" outlineLevel="0" collapsed="false">
      <c r="A22" s="28"/>
      <c r="B22" s="27"/>
      <c r="C22" s="29"/>
      <c r="D22" s="28"/>
    </row>
    <row r="23" customFormat="false" ht="15" hidden="false" customHeight="false" outlineLevel="0" collapsed="false">
      <c r="A23" s="31"/>
      <c r="B23" s="30"/>
      <c r="C23" s="32"/>
      <c r="D23" s="31"/>
    </row>
    <row r="24" customFormat="false" ht="15" hidden="false" customHeight="false" outlineLevel="0" collapsed="false">
      <c r="A24" s="28"/>
      <c r="B24" s="27"/>
      <c r="C24" s="29"/>
      <c r="D24" s="28"/>
    </row>
    <row r="25" customFormat="false" ht="15" hidden="false" customHeight="false" outlineLevel="0" collapsed="false">
      <c r="A25" s="31"/>
      <c r="B25" s="30"/>
      <c r="C25" s="32"/>
      <c r="D25" s="31"/>
    </row>
    <row r="26" customFormat="false" ht="15" hidden="false" customHeight="false" outlineLevel="0" collapsed="false">
      <c r="A26" s="28"/>
      <c r="B26" s="27"/>
      <c r="C26" s="29"/>
      <c r="D26" s="28"/>
    </row>
    <row r="27" customFormat="false" ht="15" hidden="false" customHeight="false" outlineLevel="0" collapsed="false">
      <c r="A27" s="31"/>
      <c r="B27" s="30"/>
      <c r="C27" s="32"/>
      <c r="D27" s="31"/>
    </row>
    <row r="28" customFormat="false" ht="15" hidden="false" customHeight="false" outlineLevel="0" collapsed="false">
      <c r="A28" s="28"/>
      <c r="B28" s="27"/>
      <c r="C28" s="29"/>
      <c r="D28" s="28"/>
    </row>
    <row r="29" customFormat="false" ht="15" hidden="false" customHeight="false" outlineLevel="0" collapsed="false">
      <c r="A29" s="31"/>
      <c r="B29" s="30"/>
      <c r="C29" s="32"/>
      <c r="D29" s="31"/>
    </row>
    <row r="30" customFormat="false" ht="15" hidden="false" customHeight="false" outlineLevel="0" collapsed="false">
      <c r="A30" s="28"/>
      <c r="B30" s="27"/>
      <c r="C30" s="29"/>
      <c r="D30" s="28"/>
    </row>
    <row r="31" customFormat="false" ht="15" hidden="false" customHeight="false" outlineLevel="0" collapsed="false">
      <c r="A31" s="31"/>
      <c r="B31" s="30"/>
      <c r="C31" s="32"/>
      <c r="D31" s="31"/>
    </row>
    <row r="32" customFormat="false" ht="15" hidden="false" customHeight="false" outlineLevel="0" collapsed="false">
      <c r="A32" s="28"/>
      <c r="B32" s="27"/>
      <c r="C32" s="29"/>
      <c r="D32" s="28"/>
    </row>
    <row r="33" customFormat="false" ht="15" hidden="false" customHeight="false" outlineLevel="0" collapsed="false">
      <c r="A33" s="31"/>
      <c r="B33" s="30"/>
      <c r="C33" s="32"/>
      <c r="D33" s="31"/>
    </row>
    <row r="35" customFormat="false" ht="15" hidden="false" customHeight="false" outlineLevel="0" collapsed="false">
      <c r="A35" s="36" t="s">
        <v>66</v>
      </c>
    </row>
    <row r="36" customFormat="false" ht="15" hidden="false" customHeight="false" outlineLevel="0" collapsed="false">
      <c r="A36" s="37" t="s">
        <v>67</v>
      </c>
    </row>
    <row r="37" customFormat="false" ht="15" hidden="false" customHeight="false" outlineLevel="0" collapsed="false">
      <c r="A37" s="38" t="s">
        <v>68</v>
      </c>
    </row>
  </sheetData>
  <mergeCells count="2">
    <mergeCell ref="A1:D1"/>
    <mergeCell ref="A2:D2"/>
  </mergeCells>
  <conditionalFormatting sqref="A4:D33">
    <cfRule type="expression" priority="2" aboveAverage="0" equalAverage="0" bottom="0" percent="0" rank="0" text="" dxfId="0">
      <formula>AND($D4="Pending",$B4&lt;TODAY())</formula>
    </cfRule>
    <cfRule type="expression" priority="3" aboveAverage="0" equalAverage="0" bottom="0" percent="0" rank="0" text="" dxfId="1">
      <formula>$D4="Paid"</formula>
    </cfRule>
  </conditionalFormatting>
  <dataValidations count="2">
    <dataValidation allowBlank="true" errorStyle="stop" operator="between" showDropDown="false" showErrorMessage="false" showInputMessage="false" sqref="D4:D33" type="list">
      <formula1>BillStatuses</formula1>
      <formula2>0</formula2>
    </dataValidation>
    <dataValidation allowBlank="true" errorStyle="stop" operator="greaterThan" showDropDown="false" showErrorMessage="false" showInputMessage="false" sqref="B4:B33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5" min="3" style="0" width="14"/>
  </cols>
  <sheetData>
    <row r="1" customFormat="false" ht="33.75" hidden="false" customHeight="true" outlineLevel="0" collapsed="false">
      <c r="A1" s="24" t="s">
        <v>69</v>
      </c>
      <c r="B1" s="24"/>
      <c r="C1" s="24"/>
      <c r="D1" s="24"/>
      <c r="E1" s="24"/>
    </row>
    <row r="2" customFormat="false" ht="18" hidden="false" customHeight="true" outlineLevel="0" collapsed="false">
      <c r="A2" s="25" t="s">
        <v>70</v>
      </c>
      <c r="B2" s="25"/>
      <c r="C2" s="25"/>
      <c r="D2" s="25"/>
      <c r="E2" s="25"/>
    </row>
    <row r="3" customFormat="false" ht="24" hidden="false" customHeight="true" outlineLevel="0" collapsed="false">
      <c r="A3" s="26" t="s">
        <v>71</v>
      </c>
      <c r="B3" s="26" t="s">
        <v>72</v>
      </c>
      <c r="C3" s="26" t="s">
        <v>73</v>
      </c>
      <c r="D3" s="26" t="s">
        <v>74</v>
      </c>
      <c r="E3" s="26" t="s">
        <v>75</v>
      </c>
    </row>
    <row r="4" customFormat="false" ht="15" hidden="false" customHeight="false" outlineLevel="0" collapsed="false">
      <c r="A4" s="28" t="s">
        <v>76</v>
      </c>
      <c r="B4" s="29" t="n">
        <v>15000</v>
      </c>
      <c r="C4" s="29" t="n">
        <v>9000</v>
      </c>
      <c r="D4" s="29" t="n">
        <f aca="false">B4-C4</f>
        <v>6000</v>
      </c>
      <c r="E4" s="39" t="n">
        <f aca="false">IFERROR(C4/B4,0)</f>
        <v>0.6</v>
      </c>
    </row>
    <row r="5" customFormat="false" ht="15" hidden="false" customHeight="false" outlineLevel="0" collapsed="false">
      <c r="A5" s="31" t="s">
        <v>77</v>
      </c>
      <c r="B5" s="32" t="n">
        <v>4000</v>
      </c>
      <c r="C5" s="32" t="n">
        <v>1200</v>
      </c>
      <c r="D5" s="32" t="n">
        <f aca="false">B5-C5</f>
        <v>2800</v>
      </c>
      <c r="E5" s="40" t="n">
        <f aca="false">IFERROR(C5/B5,0)</f>
        <v>0.3</v>
      </c>
    </row>
    <row r="6" customFormat="false" ht="15" hidden="false" customHeight="false" outlineLevel="0" collapsed="false">
      <c r="A6" s="28" t="s">
        <v>78</v>
      </c>
      <c r="B6" s="29" t="n">
        <v>2000</v>
      </c>
      <c r="C6" s="29" t="n">
        <v>2000</v>
      </c>
      <c r="D6" s="29" t="n">
        <f aca="false">B6-C6</f>
        <v>0</v>
      </c>
      <c r="E6" s="39" t="n">
        <f aca="false">IFERROR(C6/B6,0)</f>
        <v>1</v>
      </c>
    </row>
    <row r="7" customFormat="false" ht="15" hidden="false" customHeight="false" outlineLevel="0" collapsed="false">
      <c r="A7" s="31"/>
      <c r="B7" s="32"/>
      <c r="C7" s="32"/>
      <c r="D7" s="32" t="n">
        <f aca="false">B7-C7</f>
        <v>0</v>
      </c>
      <c r="E7" s="40" t="n">
        <f aca="false">IFERROR(C7/B7,0)</f>
        <v>0</v>
      </c>
    </row>
    <row r="8" customFormat="false" ht="15" hidden="false" customHeight="false" outlineLevel="0" collapsed="false">
      <c r="A8" s="28"/>
      <c r="B8" s="29"/>
      <c r="C8" s="29"/>
      <c r="D8" s="29" t="n">
        <f aca="false">B8-C8</f>
        <v>0</v>
      </c>
      <c r="E8" s="39" t="n">
        <f aca="false">IFERROR(C8/B8,0)</f>
        <v>0</v>
      </c>
    </row>
    <row r="9" customFormat="false" ht="15" hidden="false" customHeight="false" outlineLevel="0" collapsed="false">
      <c r="A9" s="31"/>
      <c r="B9" s="32"/>
      <c r="C9" s="32"/>
      <c r="D9" s="32" t="n">
        <f aca="false">B9-C9</f>
        <v>0</v>
      </c>
      <c r="E9" s="40" t="n">
        <f aca="false">IFERROR(C9/B9,0)</f>
        <v>0</v>
      </c>
    </row>
    <row r="10" customFormat="false" ht="15" hidden="false" customHeight="false" outlineLevel="0" collapsed="false">
      <c r="A10" s="28"/>
      <c r="B10" s="29"/>
      <c r="C10" s="29"/>
      <c r="D10" s="29" t="n">
        <f aca="false">B10-C10</f>
        <v>0</v>
      </c>
      <c r="E10" s="39" t="n">
        <f aca="false">IFERROR(C10/B10,0)</f>
        <v>0</v>
      </c>
    </row>
    <row r="11" customFormat="false" ht="15" hidden="false" customHeight="false" outlineLevel="0" collapsed="false">
      <c r="A11" s="31"/>
      <c r="B11" s="32"/>
      <c r="C11" s="32"/>
      <c r="D11" s="32" t="n">
        <f aca="false">B11-C11</f>
        <v>0</v>
      </c>
      <c r="E11" s="40" t="n">
        <f aca="false">IFERROR(C11/B11,0)</f>
        <v>0</v>
      </c>
    </row>
    <row r="12" customFormat="false" ht="15" hidden="false" customHeight="false" outlineLevel="0" collapsed="false">
      <c r="A12" s="28"/>
      <c r="B12" s="29"/>
      <c r="C12" s="29"/>
      <c r="D12" s="29" t="n">
        <f aca="false">B12-C12</f>
        <v>0</v>
      </c>
      <c r="E12" s="39" t="n">
        <f aca="false">IFERROR(C12/B12,0)</f>
        <v>0</v>
      </c>
    </row>
    <row r="13" customFormat="false" ht="15" hidden="false" customHeight="false" outlineLevel="0" collapsed="false">
      <c r="A13" s="31"/>
      <c r="B13" s="32"/>
      <c r="C13" s="32"/>
      <c r="D13" s="32" t="n">
        <f aca="false">B13-C13</f>
        <v>0</v>
      </c>
      <c r="E13" s="40" t="n">
        <f aca="false">IFERROR(C13/B13,0)</f>
        <v>0</v>
      </c>
    </row>
  </sheetData>
  <mergeCells count="2">
    <mergeCell ref="A1:E1"/>
    <mergeCell ref="A2:E2"/>
  </mergeCells>
  <conditionalFormatting sqref="E4:E13">
    <cfRule type="dataBar" priority="2">
      <dataBar showValue="1" minLength="10" maxLength="90">
        <cfvo type="num" val="0"/>
        <cfvo type="num" val="1"/>
        <color rgb="FF14B8A6"/>
      </dataBar>
      <extLst>
        <ext xmlns:x14="http://schemas.microsoft.com/office/spreadsheetml/2009/9/main" uri="{B025F937-C7B1-47D3-B67F-A62EFF666E3E}">
          <x14:id>{C81A29FB-BB13-4AEC-84BD-EAF5F3D211B2}</x14:id>
        </ext>
      </extLst>
    </cfRule>
  </conditionalFormatting>
  <conditionalFormatting sqref="A4:E13">
    <cfRule type="expression" priority="3" aboveAverage="0" equalAverage="0" bottom="0" percent="0" rank="0" text="" dxfId="1">
      <formula>E4&gt;=1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1A29FB-BB13-4AEC-84BD-EAF5F3D211B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4B8A6"/>
              <x14:axisColor rgb="FF000000"/>
            </x14:dataBar>
          </x14:cfRule>
          <xm:sqref>E4:E13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55F7"/>
    <pageSetUpPr fitToPage="tru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24" t="s">
        <v>79</v>
      </c>
      <c r="B1" s="24"/>
      <c r="C1" s="24"/>
      <c r="D1" s="24"/>
      <c r="E1" s="24"/>
      <c r="F1" s="24"/>
    </row>
    <row r="2" customFormat="false" ht="18" hidden="false" customHeight="true" outlineLevel="0" collapsed="false">
      <c r="A2" s="25" t="s">
        <v>80</v>
      </c>
      <c r="B2" s="25"/>
      <c r="C2" s="25"/>
      <c r="D2" s="25"/>
      <c r="E2" s="25"/>
      <c r="F2" s="25"/>
    </row>
    <row r="4" customFormat="false" ht="15" hidden="false" customHeight="false" outlineLevel="0" collapsed="false">
      <c r="A4" s="41" t="s">
        <v>81</v>
      </c>
      <c r="B4" s="42" t="n">
        <f aca="true">TODAY()</f>
        <v>46253</v>
      </c>
    </row>
    <row r="6" customFormat="false" ht="15" hidden="false" customHeight="false" outlineLevel="0" collapsed="false">
      <c r="A6" s="43" t="s">
        <v>82</v>
      </c>
      <c r="B6" s="43"/>
      <c r="C6" s="43"/>
      <c r="E6" s="43" t="s">
        <v>83</v>
      </c>
      <c r="F6" s="43"/>
      <c r="G6" s="43"/>
    </row>
    <row r="7" customFormat="false" ht="19.5" hidden="false" customHeight="true" outlineLevel="0" collapsed="false">
      <c r="A7" s="26" t="s">
        <v>84</v>
      </c>
      <c r="B7" s="26" t="s">
        <v>85</v>
      </c>
      <c r="C7" s="26" t="s">
        <v>86</v>
      </c>
      <c r="E7" s="26" t="s">
        <v>84</v>
      </c>
      <c r="F7" s="26" t="s">
        <v>85</v>
      </c>
      <c r="G7" s="26" t="s">
        <v>86</v>
      </c>
    </row>
    <row r="8" customFormat="false" ht="15" hidden="false" customHeight="false" outlineLevel="0" collapsed="false">
      <c r="A8" s="28" t="s">
        <v>87</v>
      </c>
      <c r="B8" s="28" t="s">
        <v>88</v>
      </c>
      <c r="C8" s="29" t="n">
        <v>12500</v>
      </c>
      <c r="E8" s="28" t="s">
        <v>47</v>
      </c>
      <c r="F8" s="28" t="s">
        <v>89</v>
      </c>
      <c r="G8" s="29" t="n">
        <v>2200</v>
      </c>
    </row>
    <row r="9" customFormat="false" ht="15" hidden="false" customHeight="false" outlineLevel="0" collapsed="false">
      <c r="A9" s="31" t="s">
        <v>90</v>
      </c>
      <c r="B9" s="31" t="s">
        <v>91</v>
      </c>
      <c r="C9" s="32" t="n">
        <v>34000</v>
      </c>
      <c r="E9" s="31" t="s">
        <v>92</v>
      </c>
      <c r="F9" s="31" t="s">
        <v>93</v>
      </c>
      <c r="G9" s="32" t="n">
        <v>8100</v>
      </c>
    </row>
    <row r="10" customFormat="false" ht="15" hidden="false" customHeight="false" outlineLevel="0" collapsed="false">
      <c r="A10" s="28" t="s">
        <v>94</v>
      </c>
      <c r="B10" s="28" t="s">
        <v>95</v>
      </c>
      <c r="C10" s="29" t="n">
        <v>0</v>
      </c>
      <c r="E10" s="28" t="s">
        <v>96</v>
      </c>
      <c r="F10" s="28" t="s">
        <v>97</v>
      </c>
      <c r="G10" s="29" t="n">
        <v>0</v>
      </c>
    </row>
    <row r="11" customFormat="false" ht="15" hidden="false" customHeight="false" outlineLevel="0" collapsed="false">
      <c r="A11" s="31" t="s">
        <v>98</v>
      </c>
      <c r="B11" s="31" t="s">
        <v>99</v>
      </c>
      <c r="C11" s="32" t="n">
        <v>9500</v>
      </c>
      <c r="E11" s="31"/>
      <c r="F11" s="31"/>
      <c r="G11" s="32"/>
    </row>
    <row r="12" customFormat="false" ht="15" hidden="false" customHeight="false" outlineLevel="0" collapsed="false">
      <c r="A12" s="28"/>
      <c r="B12" s="28"/>
      <c r="C12" s="29"/>
      <c r="E12" s="28"/>
      <c r="F12" s="28"/>
      <c r="G12" s="29"/>
    </row>
    <row r="13" customFormat="false" ht="15" hidden="false" customHeight="false" outlineLevel="0" collapsed="false">
      <c r="A13" s="31"/>
      <c r="B13" s="31"/>
      <c r="C13" s="32"/>
      <c r="E13" s="31"/>
      <c r="F13" s="31"/>
      <c r="G13" s="32"/>
    </row>
    <row r="14" customFormat="false" ht="15" hidden="false" customHeight="false" outlineLevel="0" collapsed="false">
      <c r="A14" s="28"/>
      <c r="B14" s="28"/>
      <c r="C14" s="29"/>
      <c r="E14" s="28"/>
      <c r="F14" s="28"/>
      <c r="G14" s="29"/>
    </row>
    <row r="15" customFormat="false" ht="15" hidden="false" customHeight="false" outlineLevel="0" collapsed="false">
      <c r="A15" s="31"/>
      <c r="B15" s="31"/>
      <c r="C15" s="32"/>
      <c r="E15" s="31"/>
      <c r="F15" s="31"/>
      <c r="G15" s="32"/>
    </row>
    <row r="16" customFormat="false" ht="15" hidden="false" customHeight="false" outlineLevel="0" collapsed="false">
      <c r="A16" s="28"/>
      <c r="B16" s="28"/>
      <c r="C16" s="29"/>
      <c r="E16" s="28"/>
      <c r="F16" s="28"/>
      <c r="G16" s="29"/>
    </row>
    <row r="17" customFormat="false" ht="15" hidden="false" customHeight="false" outlineLevel="0" collapsed="false">
      <c r="A17" s="31"/>
      <c r="B17" s="31"/>
      <c r="C17" s="32"/>
      <c r="E17" s="31"/>
      <c r="F17" s="31"/>
      <c r="G17" s="32"/>
    </row>
    <row r="18" customFormat="false" ht="15" hidden="false" customHeight="false" outlineLevel="0" collapsed="false">
      <c r="A18" s="33"/>
      <c r="B18" s="34" t="s">
        <v>100</v>
      </c>
      <c r="C18" s="35" t="n">
        <f aca="false">SUM(C8:C17)</f>
        <v>56000</v>
      </c>
      <c r="E18" s="33"/>
      <c r="F18" s="34" t="s">
        <v>101</v>
      </c>
      <c r="G18" s="35" t="n">
        <f aca="false">SUM(G8:G17)</f>
        <v>10300</v>
      </c>
    </row>
    <row r="21" customFormat="false" ht="30" hidden="false" customHeight="true" outlineLevel="0" collapsed="false">
      <c r="A21" s="44" t="s">
        <v>79</v>
      </c>
      <c r="B21" s="44"/>
      <c r="C21" s="44"/>
      <c r="E21" s="45" t="n">
        <f aca="false">C18-G18</f>
        <v>45700</v>
      </c>
      <c r="F21" s="45"/>
      <c r="G21" s="45"/>
    </row>
  </sheetData>
  <mergeCells count="6">
    <mergeCell ref="A1:F1"/>
    <mergeCell ref="A2:F2"/>
    <mergeCell ref="A6:C6"/>
    <mergeCell ref="E6:G6"/>
    <mergeCell ref="A21:C21"/>
    <mergeCell ref="E21:G21"/>
  </mergeCells>
  <dataValidations count="2">
    <dataValidation allowBlank="true" errorStyle="stop" operator="between" showDropDown="false" showErrorMessage="false" showInputMessage="false" sqref="A8:A17" type="list">
      <formula1>AssetTypes</formula1>
      <formula2>0</formula2>
    </dataValidation>
    <dataValidation allowBlank="true" errorStyle="stop" operator="between" showDropDown="false" showErrorMessage="false" showInputMessage="false" sqref="E8:E17" type="list">
      <formula1>LiabilityTypes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4"/>
  </cols>
  <sheetData>
    <row r="1" customFormat="false" ht="33.75" hidden="false" customHeight="true" outlineLevel="0" collapsed="false">
      <c r="A1" s="24" t="s">
        <v>102</v>
      </c>
      <c r="B1" s="24"/>
      <c r="C1" s="24"/>
      <c r="D1" s="24"/>
      <c r="E1" s="24"/>
    </row>
    <row r="2" customFormat="false" ht="18" hidden="false" customHeight="true" outlineLevel="0" collapsed="false">
      <c r="A2" s="25" t="s">
        <v>103</v>
      </c>
      <c r="B2" s="25"/>
      <c r="C2" s="25"/>
      <c r="D2" s="25"/>
      <c r="E2" s="25"/>
    </row>
    <row r="4" customFormat="false" ht="15" hidden="false" customHeight="false" outlineLevel="0" collapsed="false">
      <c r="A4" s="41" t="s">
        <v>104</v>
      </c>
      <c r="B4" s="46" t="n">
        <f aca="false">Dashboard!$H$3</f>
        <v>46235</v>
      </c>
    </row>
    <row r="6" customFormat="false" ht="24" hidden="false" customHeight="true" outlineLevel="0" collapsed="false">
      <c r="A6" s="26" t="s">
        <v>18</v>
      </c>
      <c r="B6" s="26" t="s">
        <v>105</v>
      </c>
      <c r="C6" s="26" t="s">
        <v>106</v>
      </c>
      <c r="D6" s="26" t="s">
        <v>107</v>
      </c>
      <c r="E6" s="26" t="s">
        <v>108</v>
      </c>
    </row>
    <row r="7" customFormat="false" ht="15" hidden="false" customHeight="false" outlineLevel="0" collapsed="false">
      <c r="A7" s="28" t="s">
        <v>20</v>
      </c>
      <c r="B7" s="47" t="n">
        <v>1800</v>
      </c>
      <c r="C7" s="29" t="n">
        <f aca="false">SUMIFS(Expenses!$E$4:$E$153,Expenses!$C$4:$C$153,$A7,Expenses!$A$4:$A$153,"&gt;="&amp;DATE(YEAR($B$4),MONTH($B$4),1),Expenses!$A$4:$A$153,"&lt;"&amp;EDATE(DATE(YEAR($B$4),MONTH($B$4),1),1))</f>
        <v>1800</v>
      </c>
      <c r="D7" s="48" t="n">
        <f aca="false">B7-C7</f>
        <v>0</v>
      </c>
      <c r="E7" s="39" t="n">
        <f aca="false">IFERROR(D7/B7,0)</f>
        <v>0</v>
      </c>
    </row>
    <row r="8" customFormat="false" ht="15" hidden="false" customHeight="false" outlineLevel="0" collapsed="false">
      <c r="A8" s="31" t="s">
        <v>21</v>
      </c>
      <c r="B8" s="49" t="n">
        <v>600</v>
      </c>
      <c r="C8" s="32" t="n">
        <f aca="false">SUMIFS(Expenses!$E$4:$E$153,Expenses!$C$4:$C$153,$A8,Expenses!$A$4:$A$153,"&gt;="&amp;DATE(YEAR($B$4),MONTH($B$4),1),Expenses!$A$4:$A$153,"&lt;"&amp;EDATE(DATE(YEAR($B$4),MONTH($B$4),1),1))</f>
        <v>145.32</v>
      </c>
      <c r="D8" s="50" t="n">
        <f aca="false">B8-C8</f>
        <v>454.68</v>
      </c>
      <c r="E8" s="40" t="n">
        <f aca="false">IFERROR(D8/B8,0)</f>
        <v>0.7578</v>
      </c>
    </row>
    <row r="9" customFormat="false" ht="15" hidden="false" customHeight="false" outlineLevel="0" collapsed="false">
      <c r="A9" s="28" t="s">
        <v>22</v>
      </c>
      <c r="B9" s="47" t="n">
        <v>200</v>
      </c>
      <c r="C9" s="29" t="n">
        <f aca="false">SUMIFS(Expenses!$E$4:$E$153,Expenses!$C$4:$C$153,$A9,Expenses!$A$4:$A$153,"&gt;="&amp;DATE(YEAR($B$4),MONTH($B$4),1),Expenses!$A$4:$A$153,"&lt;"&amp;EDATE(DATE(YEAR($B$4),MONTH($B$4),1),1))</f>
        <v>24.5</v>
      </c>
      <c r="D9" s="48" t="n">
        <f aca="false">B9-C9</f>
        <v>175.5</v>
      </c>
      <c r="E9" s="39" t="n">
        <f aca="false">IFERROR(D9/B9,0)</f>
        <v>0.8775</v>
      </c>
    </row>
    <row r="10" customFormat="false" ht="15" hidden="false" customHeight="false" outlineLevel="0" collapsed="false">
      <c r="A10" s="31" t="s">
        <v>23</v>
      </c>
      <c r="B10" s="49" t="n">
        <v>250</v>
      </c>
      <c r="C10" s="32" t="n">
        <f aca="false">SUMIFS(Expenses!$E$4:$E$153,Expenses!$C$4:$C$153,$A10,Expenses!$A$4:$A$153,"&gt;="&amp;DATE(YEAR($B$4),MONTH($B$4),1),Expenses!$A$4:$A$153,"&lt;"&amp;EDATE(DATE(YEAR($B$4),MONTH($B$4),1),1))</f>
        <v>89.99</v>
      </c>
      <c r="D10" s="50" t="n">
        <f aca="false">B10-C10</f>
        <v>160.01</v>
      </c>
      <c r="E10" s="40" t="n">
        <f aca="false">IFERROR(D10/B10,0)</f>
        <v>0.64004</v>
      </c>
    </row>
    <row r="11" customFormat="false" ht="15" hidden="false" customHeight="false" outlineLevel="0" collapsed="false">
      <c r="A11" s="28" t="s">
        <v>24</v>
      </c>
      <c r="B11" s="47" t="n">
        <v>150</v>
      </c>
      <c r="C11" s="29" t="n">
        <f aca="false">SUMIFS(Expenses!$E$4:$E$153,Expenses!$C$4:$C$153,$A11,Expenses!$A$4:$A$153,"&gt;="&amp;DATE(YEAR($B$4),MONTH($B$4),1),Expenses!$A$4:$A$153,"&lt;"&amp;EDATE(DATE(YEAR($B$4),MONTH($B$4),1),1))</f>
        <v>42.1</v>
      </c>
      <c r="D11" s="48" t="n">
        <f aca="false">B11-C11</f>
        <v>107.9</v>
      </c>
      <c r="E11" s="39" t="n">
        <f aca="false">IFERROR(D11/B11,0)</f>
        <v>0.719333333333333</v>
      </c>
    </row>
    <row r="12" customFormat="false" ht="15" hidden="false" customHeight="false" outlineLevel="0" collapsed="false">
      <c r="A12" s="31" t="s">
        <v>25</v>
      </c>
      <c r="B12" s="49" t="n">
        <v>100</v>
      </c>
      <c r="C12" s="32" t="n">
        <f aca="false">SUMIFS(Expenses!$E$4:$E$153,Expenses!$C$4:$C$153,$A12,Expenses!$A$4:$A$153,"&gt;="&amp;DATE(YEAR($B$4),MONTH($B$4),1),Expenses!$A$4:$A$153,"&lt;"&amp;EDATE(DATE(YEAR($B$4),MONTH($B$4),1),1))</f>
        <v>15.99</v>
      </c>
      <c r="D12" s="50" t="n">
        <f aca="false">B12-C12</f>
        <v>84.01</v>
      </c>
      <c r="E12" s="40" t="n">
        <f aca="false">IFERROR(D12/B12,0)</f>
        <v>0.8401</v>
      </c>
    </row>
    <row r="13" customFormat="false" ht="15" hidden="false" customHeight="false" outlineLevel="0" collapsed="false">
      <c r="A13" s="28" t="s">
        <v>26</v>
      </c>
      <c r="B13" s="47" t="n">
        <v>180</v>
      </c>
      <c r="C13" s="29" t="n">
        <f aca="false">SUMIFS(Expenses!$E$4:$E$153,Expenses!$C$4:$C$153,$A13,Expenses!$A$4:$A$153,"&gt;="&amp;DATE(YEAR($B$4),MONTH($B$4),1),Expenses!$A$4:$A$153,"&lt;"&amp;EDATE(DATE(YEAR($B$4),MONTH($B$4),1),1))</f>
        <v>110</v>
      </c>
      <c r="D13" s="48" t="n">
        <f aca="false">B13-C13</f>
        <v>70</v>
      </c>
      <c r="E13" s="39" t="n">
        <f aca="false">IFERROR(D13/B13,0)</f>
        <v>0.388888888888889</v>
      </c>
    </row>
    <row r="14" customFormat="false" ht="15" hidden="false" customHeight="false" outlineLevel="0" collapsed="false">
      <c r="A14" s="31" t="s">
        <v>27</v>
      </c>
      <c r="B14" s="49" t="n">
        <v>100</v>
      </c>
      <c r="C14" s="32" t="n">
        <f aca="false">SUMIFS(Expenses!$E$4:$E$153,Expenses!$C$4:$C$153,$A14,Expenses!$A$4:$A$153,"&gt;="&amp;DATE(YEAR($B$4),MONTH($B$4),1),Expenses!$A$4:$A$153,"&lt;"&amp;EDATE(DATE(YEAR($B$4),MONTH($B$4),1),1))</f>
        <v>0</v>
      </c>
      <c r="D14" s="50" t="n">
        <f aca="false">B14-C14</f>
        <v>100</v>
      </c>
      <c r="E14" s="40" t="n">
        <f aca="false">IFERROR(D14/B14,0)</f>
        <v>1</v>
      </c>
    </row>
    <row r="15" customFormat="false" ht="15" hidden="false" customHeight="false" outlineLevel="0" collapsed="false">
      <c r="A15" s="51" t="s">
        <v>39</v>
      </c>
      <c r="B15" s="35" t="n">
        <f aca="false">SUM(B7:B14)</f>
        <v>3380</v>
      </c>
      <c r="C15" s="35" t="n">
        <f aca="false">SUM(C7:C14)</f>
        <v>2227.9</v>
      </c>
      <c r="D15" s="35" t="n">
        <f aca="false">SUM(D7:D14)</f>
        <v>1152.1</v>
      </c>
      <c r="E15" s="52" t="n">
        <f aca="false">IFERROR(D15/B15,0)</f>
        <v>0.34085798816568</v>
      </c>
    </row>
  </sheetData>
  <mergeCells count="2">
    <mergeCell ref="A1:E1"/>
    <mergeCell ref="A2:E2"/>
  </mergeCells>
  <conditionalFormatting sqref="D7:D14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true"/>
  </sheetPr>
  <dimension ref="A1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6" min="4" style="0" width="2"/>
    <col collapsed="false" customWidth="true" hidden="false" outlineLevel="0" max="9" min="8" style="0" width="2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3" min="12" style="0" width="20"/>
  </cols>
  <sheetData>
    <row r="1" customFormat="false" ht="33.75" hidden="false" customHeight="true" outlineLevel="0" collapsed="false">
      <c r="A1" s="24" t="s">
        <v>109</v>
      </c>
      <c r="B1" s="24"/>
      <c r="C1" s="24"/>
      <c r="D1" s="24"/>
      <c r="E1" s="24"/>
      <c r="F1" s="24"/>
      <c r="H1" s="53" t="s">
        <v>110</v>
      </c>
      <c r="I1" s="53" t="s">
        <v>111</v>
      </c>
      <c r="J1" s="53" t="s">
        <v>112</v>
      </c>
      <c r="K1" s="53" t="s">
        <v>113</v>
      </c>
      <c r="L1" s="53" t="s">
        <v>114</v>
      </c>
      <c r="M1" s="53" t="s">
        <v>115</v>
      </c>
    </row>
    <row r="2" customFormat="false" ht="18" hidden="false" customHeight="true" outlineLevel="0" collapsed="false">
      <c r="A2" s="25" t="s">
        <v>116</v>
      </c>
      <c r="B2" s="25"/>
      <c r="C2" s="25"/>
      <c r="D2" s="25"/>
      <c r="E2" s="25"/>
      <c r="F2" s="25"/>
      <c r="H2" s="54" t="s">
        <v>20</v>
      </c>
      <c r="I2" s="54" t="s">
        <v>34</v>
      </c>
      <c r="J2" s="54" t="s">
        <v>117</v>
      </c>
      <c r="K2" s="54" t="s">
        <v>60</v>
      </c>
      <c r="L2" s="54" t="s">
        <v>87</v>
      </c>
      <c r="M2" s="54" t="s">
        <v>47</v>
      </c>
    </row>
    <row r="3" customFormat="false" ht="15" hidden="false" customHeight="false" outlineLevel="0" collapsed="false">
      <c r="H3" s="54" t="s">
        <v>21</v>
      </c>
      <c r="I3" s="54" t="s">
        <v>37</v>
      </c>
      <c r="J3" s="54" t="s">
        <v>47</v>
      </c>
      <c r="K3" s="54" t="s">
        <v>62</v>
      </c>
      <c r="L3" s="54" t="s">
        <v>90</v>
      </c>
      <c r="M3" s="54" t="s">
        <v>92</v>
      </c>
    </row>
    <row r="4" customFormat="false" ht="15" hidden="false" customHeight="false" outlineLevel="0" collapsed="false">
      <c r="A4" s="55" t="s">
        <v>118</v>
      </c>
      <c r="B4" s="55"/>
      <c r="H4" s="54" t="s">
        <v>22</v>
      </c>
      <c r="I4" s="54" t="s">
        <v>119</v>
      </c>
      <c r="J4" s="54" t="s">
        <v>53</v>
      </c>
      <c r="L4" s="54" t="s">
        <v>94</v>
      </c>
      <c r="M4" s="54" t="s">
        <v>96</v>
      </c>
    </row>
    <row r="5" customFormat="false" ht="15" hidden="false" customHeight="false" outlineLevel="0" collapsed="false">
      <c r="A5" s="56" t="s">
        <v>120</v>
      </c>
      <c r="B5" s="57" t="s">
        <v>121</v>
      </c>
      <c r="H5" s="54" t="s">
        <v>23</v>
      </c>
      <c r="I5" s="54" t="s">
        <v>122</v>
      </c>
      <c r="J5" s="54" t="s">
        <v>45</v>
      </c>
      <c r="L5" s="54" t="s">
        <v>98</v>
      </c>
      <c r="M5" s="54" t="s">
        <v>27</v>
      </c>
    </row>
    <row r="6" customFormat="false" ht="15" hidden="false" customHeight="false" outlineLevel="0" collapsed="false">
      <c r="A6" s="56" t="s">
        <v>123</v>
      </c>
      <c r="B6" s="57" t="s">
        <v>124</v>
      </c>
      <c r="H6" s="54" t="s">
        <v>24</v>
      </c>
      <c r="I6" s="54" t="s">
        <v>125</v>
      </c>
      <c r="J6" s="54" t="s">
        <v>27</v>
      </c>
      <c r="L6" s="54" t="s">
        <v>27</v>
      </c>
    </row>
    <row r="7" customFormat="false" ht="15" hidden="false" customHeight="false" outlineLevel="0" collapsed="false">
      <c r="A7" s="56" t="s">
        <v>126</v>
      </c>
      <c r="B7" s="58" t="n">
        <f aca="true">DATE(YEAR(TODAY()),MONTH(TODAY()),1)</f>
        <v>46235</v>
      </c>
      <c r="H7" s="54" t="s">
        <v>25</v>
      </c>
      <c r="I7" s="54" t="s">
        <v>27</v>
      </c>
    </row>
    <row r="8" customFormat="false" ht="15" hidden="false" customHeight="false" outlineLevel="0" collapsed="false">
      <c r="A8" s="56" t="s">
        <v>127</v>
      </c>
      <c r="B8" s="57" t="s">
        <v>128</v>
      </c>
      <c r="H8" s="54" t="s">
        <v>26</v>
      </c>
    </row>
    <row r="9" customFormat="false" ht="15" hidden="false" customHeight="false" outlineLevel="0" collapsed="false">
      <c r="A9" s="56" t="s">
        <v>129</v>
      </c>
      <c r="B9" s="57" t="s">
        <v>130</v>
      </c>
      <c r="H9" s="54" t="s">
        <v>27</v>
      </c>
    </row>
    <row r="10" customFormat="false" ht="15" hidden="false" customHeight="false" outlineLevel="0" collapsed="false">
      <c r="A10" s="56" t="s">
        <v>131</v>
      </c>
      <c r="B10" s="57" t="s">
        <v>132</v>
      </c>
    </row>
    <row r="12" customFormat="false" ht="22.35" hidden="false" customHeight="true" outlineLevel="0" collapsed="false">
      <c r="A12" s="59" t="s">
        <v>133</v>
      </c>
      <c r="B12" s="59"/>
      <c r="C12" s="59"/>
      <c r="D12" s="59"/>
      <c r="E12" s="59"/>
      <c r="F12" s="59"/>
    </row>
  </sheetData>
  <mergeCells count="4">
    <mergeCell ref="A1:F1"/>
    <mergeCell ref="A2:F2"/>
    <mergeCell ref="A4:B4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2026-08-19T18:34:56Z</dcterms:created>
  <dc:creator>openpyxl</dc:creator>
  <dc:description/>
  <dc:language>en-US</dc:language>
  <cp:lastModifiedBy/>
  <dcterms:modified xsi:type="dcterms:W3CDTF">2026-08-19T18:34:57Z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